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52B0433A-BADF-415D-AA28-6D72DC1ADEC3}" xr6:coauthVersionLast="47" xr6:coauthVersionMax="47" xr10:uidLastSave="{00000000-0000-0000-0000-000000000000}"/>
  <bookViews>
    <workbookView xWindow="-108" yWindow="-108" windowWidth="23256" windowHeight="12576" firstSheet="4" activeTab="8" xr2:uid="{00000000-000D-0000-FFFF-FFFF00000000}"/>
  </bookViews>
  <sheets>
    <sheet name="TOC" sheetId="1" r:id="rId1"/>
    <sheet name="01-Intro" sheetId="2" r:id="rId2"/>
    <sheet name="03-VLOOKUP" sheetId="5" r:id="rId3"/>
    <sheet name="03-Date to Period Conversion" sheetId="6" r:id="rId4"/>
    <sheet name="02-IF" sheetId="8" r:id="rId5"/>
    <sheet name="02-IF-ISERROR" sheetId="9" r:id="rId6"/>
    <sheet name="05-filter1" sheetId="10" r:id="rId7"/>
    <sheet name="05-filter2" sheetId="11" r:id="rId8"/>
    <sheet name="06-CF Row Banding" sheetId="12" r:id="rId9"/>
  </sheets>
  <definedNames>
    <definedName name="_xlnm._FilterDatabase" localSheetId="6" hidden="1">'05-filter1'!$A$2:$F$274</definedName>
    <definedName name="_xlnm._FilterDatabase" localSheetId="7" hidden="1">'05-filter2'!$A$6:$F$278</definedName>
    <definedName name="_xlnm._FilterDatabase" localSheetId="8" hidden="1">'06-CF Row Banding'!$B$8:$O$8</definedName>
    <definedName name="Z_24FA60FA_7D0B_436C_8ED0_796B3F3C5F35_.wvu.PrintArea" localSheetId="3">'03-Date to Period Conversion'!$A$1:$I$38</definedName>
    <definedName name="Z_24FA60FA_7D0B_436C_8ED0_796B3F3C5F35_.wvu.PrintArea" localSheetId="2">'03-VLOOKUP'!$A$1:$F$39</definedName>
    <definedName name="Z_24FA60FA_7D0B_436C_8ED0_796B3F3C5F35_.wvu.PrintArea" localSheetId="6">'05-filter1'!$A$1:$F$31</definedName>
    <definedName name="Z_35868F84_30BB_46CE_8E91_DCBD494D63D4_.wvu.PrintArea" localSheetId="3">'03-Date to Period Conversion'!$A$1:$I$38</definedName>
    <definedName name="Z_35868F84_30BB_46CE_8E91_DCBD494D63D4_.wvu.PrintArea" localSheetId="2">'03-VLOOKUP'!$A$1:$F$39</definedName>
    <definedName name="Z_35868F84_30BB_46CE_8E91_DCBD494D63D4_.wvu.PrintArea" localSheetId="6">'05-filter1'!$A$1:$F$31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L4" i="2"/>
  <c r="K24" i="2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3" i="9"/>
  <c r="J3" i="9"/>
  <c r="J4" i="9"/>
  <c r="J5" i="9"/>
  <c r="L37" i="8"/>
  <c r="I37" i="8"/>
  <c r="J37" i="8"/>
  <c r="A37" i="8"/>
  <c r="K37" i="8"/>
  <c r="B37" i="8"/>
  <c r="C37" i="8"/>
  <c r="D37" i="8"/>
  <c r="E37" i="8"/>
  <c r="F37" i="8"/>
  <c r="G37" i="8"/>
  <c r="H37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G15" i="8"/>
  <c r="F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15" i="8"/>
  <c r="E7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4" i="6"/>
  <c r="E5" i="6"/>
  <c r="E6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4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5" i="6"/>
  <c r="C4" i="6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C21" i="5"/>
  <c r="C17" i="5"/>
  <c r="C13" i="5"/>
  <c r="C14" i="5"/>
  <c r="C15" i="5"/>
  <c r="C16" i="5"/>
  <c r="C18" i="5"/>
  <c r="C19" i="5"/>
  <c r="C20" i="5"/>
  <c r="C27" i="5"/>
  <c r="C26" i="5"/>
  <c r="C25" i="5"/>
  <c r="C24" i="5"/>
  <c r="C23" i="5"/>
  <c r="C22" i="5"/>
  <c r="C28" i="5"/>
  <c r="C29" i="5"/>
  <c r="C30" i="5"/>
  <c r="C31" i="5"/>
  <c r="C32" i="5"/>
  <c r="C33" i="5"/>
  <c r="C34" i="5"/>
  <c r="C36" i="5"/>
  <c r="C35" i="5"/>
  <c r="C12" i="5"/>
  <c r="C11" i="5"/>
  <c r="C10" i="5"/>
  <c r="C8" i="5"/>
  <c r="C9" i="5"/>
  <c r="C6" i="5"/>
  <c r="C7" i="5"/>
  <c r="C5" i="5"/>
  <c r="C4" i="5"/>
  <c r="P42" i="2"/>
  <c r="O42" i="2"/>
  <c r="N42" i="2"/>
  <c r="M42" i="2"/>
  <c r="L42" i="2"/>
  <c r="K42" i="2"/>
  <c r="P41" i="2"/>
  <c r="O41" i="2"/>
  <c r="N41" i="2"/>
  <c r="L40" i="2"/>
  <c r="K41" i="2"/>
  <c r="L41" i="2"/>
  <c r="M41" i="2"/>
  <c r="O40" i="2"/>
  <c r="N40" i="2"/>
  <c r="M40" i="2"/>
  <c r="P40" i="2"/>
  <c r="K40" i="2"/>
  <c r="P39" i="2"/>
  <c r="O39" i="2"/>
  <c r="N39" i="2"/>
  <c r="M39" i="2"/>
  <c r="L39" i="2"/>
  <c r="K39" i="2"/>
  <c r="P38" i="2"/>
  <c r="O38" i="2"/>
  <c r="N38" i="2"/>
  <c r="M38" i="2"/>
  <c r="L38" i="2"/>
  <c r="L37" i="2"/>
  <c r="K37" i="2"/>
  <c r="K38" i="2"/>
  <c r="P37" i="2"/>
  <c r="O37" i="2"/>
  <c r="N37" i="2"/>
  <c r="M37" i="2"/>
  <c r="O28" i="2"/>
  <c r="N28" i="2"/>
  <c r="M28" i="2"/>
  <c r="L28" i="2"/>
  <c r="K28" i="2"/>
  <c r="P28" i="2" s="1"/>
  <c r="K27" i="2"/>
  <c r="O27" i="2"/>
  <c r="N27" i="2"/>
  <c r="M27" i="2"/>
  <c r="L27" i="2"/>
  <c r="P27" i="2" s="1"/>
  <c r="O26" i="2"/>
  <c r="N26" i="2"/>
  <c r="M26" i="2"/>
  <c r="L26" i="2"/>
  <c r="K26" i="2"/>
  <c r="P26" i="2" s="1"/>
  <c r="O25" i="2"/>
  <c r="L25" i="2"/>
  <c r="K25" i="2"/>
  <c r="O24" i="2"/>
  <c r="O29" i="2" s="1"/>
  <c r="L24" i="2"/>
  <c r="L29" i="2" s="1"/>
  <c r="L13" i="2"/>
  <c r="N25" i="2"/>
  <c r="M25" i="2"/>
  <c r="P25" i="2"/>
  <c r="N24" i="2"/>
  <c r="N29" i="2" s="1"/>
  <c r="M24" i="2"/>
  <c r="L17" i="2"/>
  <c r="L16" i="2"/>
  <c r="L15" i="2"/>
  <c r="L14" i="2"/>
  <c r="K17" i="2"/>
  <c r="K16" i="2"/>
  <c r="K15" i="2"/>
  <c r="K14" i="2"/>
  <c r="K13" i="2"/>
  <c r="K4" i="2"/>
  <c r="L8" i="2"/>
  <c r="L7" i="2"/>
  <c r="L6" i="2"/>
  <c r="K8" i="2"/>
  <c r="K7" i="2"/>
  <c r="K5" i="2"/>
  <c r="K6" i="2"/>
  <c r="I41" i="9"/>
  <c r="H41" i="9"/>
  <c r="G41" i="9"/>
  <c r="F41" i="9"/>
  <c r="E41" i="9"/>
  <c r="D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K29" i="2" l="1"/>
  <c r="M29" i="2"/>
  <c r="P24" i="2"/>
  <c r="P29" i="2" s="1"/>
</calcChain>
</file>

<file path=xl/sharedStrings.xml><?xml version="1.0" encoding="utf-8"?>
<sst xmlns="http://schemas.openxmlformats.org/spreadsheetml/2006/main" count="4784" uniqueCount="584">
  <si>
    <t>Table of Contents</t>
  </si>
  <si>
    <t>FRP301 - Advanced Excel</t>
  </si>
  <si>
    <t>01-Introduction</t>
  </si>
  <si>
    <t>COUNTIF, SUMIF, and absolute referencing, etc.</t>
  </si>
  <si>
    <t>03-VLOOKUP</t>
  </si>
  <si>
    <t>VLOOKUP</t>
  </si>
  <si>
    <t>03-Date to Period Conversion</t>
  </si>
  <si>
    <t>How to add Period, Year, and Month to a table etc.</t>
  </si>
  <si>
    <t>05-filter1</t>
  </si>
  <si>
    <t>Raw data to filter</t>
  </si>
  <si>
    <t>05-filter2</t>
  </si>
  <si>
    <t>Find unique values and copy to another location</t>
  </si>
  <si>
    <t>06-CF Row Banding</t>
  </si>
  <si>
    <t>Conditional formatting</t>
  </si>
  <si>
    <t>02-IF</t>
  </si>
  <si>
    <t>How to use IF</t>
  </si>
  <si>
    <t>02-IF-ISERROR</t>
  </si>
  <si>
    <t>Hiding Error Cells</t>
  </si>
  <si>
    <t>Nested IF</t>
  </si>
  <si>
    <t>Use nested if and Pivot table</t>
  </si>
  <si>
    <t>Return to TOC</t>
  </si>
  <si>
    <t>ID</t>
  </si>
  <si>
    <t>Empl Rcd#</t>
  </si>
  <si>
    <t>Name</t>
  </si>
  <si>
    <t>TRC</t>
  </si>
  <si>
    <t>Earn Code</t>
  </si>
  <si>
    <t>Quantity</t>
  </si>
  <si>
    <t>Rpt Dt</t>
  </si>
  <si>
    <t>DAY</t>
  </si>
  <si>
    <t>Countif</t>
  </si>
  <si>
    <t>Sumif</t>
  </si>
  <si>
    <t>Smith,Jacob</t>
  </si>
  <si>
    <t>SP</t>
  </si>
  <si>
    <t>SIC</t>
  </si>
  <si>
    <t>THURSDAY</t>
  </si>
  <si>
    <t>Johnson,Michael</t>
  </si>
  <si>
    <t>SFFNR</t>
  </si>
  <si>
    <t>WEDNESDAY</t>
  </si>
  <si>
    <t>SFAM</t>
  </si>
  <si>
    <t>Williams,Joshua</t>
  </si>
  <si>
    <t>SFNRL</t>
  </si>
  <si>
    <t>Jones,Matthew</t>
  </si>
  <si>
    <t>SICK</t>
  </si>
  <si>
    <t>Brown,Daniel</t>
  </si>
  <si>
    <t>Davis,Christopher</t>
  </si>
  <si>
    <t>Miller,Andrew</t>
  </si>
  <si>
    <t>Wilson,Ethan</t>
  </si>
  <si>
    <t>Moore,Joseph</t>
  </si>
  <si>
    <t>MONDAY</t>
  </si>
  <si>
    <t>TUESDAY</t>
  </si>
  <si>
    <t>Taylor,William</t>
  </si>
  <si>
    <t>Anderson,Anthony</t>
  </si>
  <si>
    <t>FRIDAY</t>
  </si>
  <si>
    <t>Thomas,David</t>
  </si>
  <si>
    <t>Jackson,Alexander</t>
  </si>
  <si>
    <t>White,Nicholas</t>
  </si>
  <si>
    <t>COUNTIFS or SUMPRODUCT</t>
  </si>
  <si>
    <t>Harris,Ryan</t>
  </si>
  <si>
    <t>Martin,Tyler</t>
  </si>
  <si>
    <t>Occurrences</t>
  </si>
  <si>
    <t>Thompson,James</t>
  </si>
  <si>
    <t>Total</t>
  </si>
  <si>
    <t>Garcia,John</t>
  </si>
  <si>
    <t>Martinez,Jonathan</t>
  </si>
  <si>
    <t>Robinson,Noah</t>
  </si>
  <si>
    <t>Clark,Brandon</t>
  </si>
  <si>
    <t>Rodriguez,Christian</t>
  </si>
  <si>
    <t>Lewis,Dylan</t>
  </si>
  <si>
    <t>Lee,Samuel</t>
  </si>
  <si>
    <t>SUMIFS or SUMPRODUCT</t>
  </si>
  <si>
    <t>Walker,Benjamin</t>
  </si>
  <si>
    <t>Hall,Zachary</t>
  </si>
  <si>
    <t>Hours</t>
  </si>
  <si>
    <t>Allen,Nathan</t>
  </si>
  <si>
    <t>Young,Logan</t>
  </si>
  <si>
    <t>Hernandez,Justin</t>
  </si>
  <si>
    <t>King,Gabriel</t>
  </si>
  <si>
    <t>Wright,Jose</t>
  </si>
  <si>
    <t>Lopez,Austin</t>
  </si>
  <si>
    <t>Hill,Kevin</t>
  </si>
  <si>
    <t>Scott,Elijah</t>
  </si>
  <si>
    <t>Green,Caleb</t>
  </si>
  <si>
    <t>Adams,Robert</t>
  </si>
  <si>
    <t>Baker,Thomas</t>
  </si>
  <si>
    <t>Gonzalez,Jordan</t>
  </si>
  <si>
    <t>Nelson,Cameron</t>
  </si>
  <si>
    <t>Carter,Jack</t>
  </si>
  <si>
    <t>Mitchell,Hunter</t>
  </si>
  <si>
    <t>Perez,Jackson</t>
  </si>
  <si>
    <t>Roberts,Angel</t>
  </si>
  <si>
    <t>Turner,Isaiah</t>
  </si>
  <si>
    <t>Phillips,Evan</t>
  </si>
  <si>
    <t>Campbell,Isaac</t>
  </si>
  <si>
    <t>Parker,Mason</t>
  </si>
  <si>
    <t>Evans,Luke</t>
  </si>
  <si>
    <t>Edwards,Jason</t>
  </si>
  <si>
    <t>Collins,Gavin</t>
  </si>
  <si>
    <t>Stewart,Jayden</t>
  </si>
  <si>
    <t>Sanchez,Aaron</t>
  </si>
  <si>
    <t>Morris,Connor</t>
  </si>
  <si>
    <t>Rogers,Aiden</t>
  </si>
  <si>
    <t>Reed,Aidan</t>
  </si>
  <si>
    <t>Cook,Kyle</t>
  </si>
  <si>
    <t>Morgan,Juan</t>
  </si>
  <si>
    <t>Bell,Charles</t>
  </si>
  <si>
    <t>Murphy,Luis</t>
  </si>
  <si>
    <t>Bailey,Adam</t>
  </si>
  <si>
    <t>Rivera,Lucas</t>
  </si>
  <si>
    <t>Cooper,Brian</t>
  </si>
  <si>
    <t>Richardson,Eric</t>
  </si>
  <si>
    <t>Cox,Adrian</t>
  </si>
  <si>
    <t>Howard,Nathaniel</t>
  </si>
  <si>
    <t>Ward,Sean</t>
  </si>
  <si>
    <t>Torres,Alex</t>
  </si>
  <si>
    <t>Peterson,Carlos</t>
  </si>
  <si>
    <t>Gray,Bryan</t>
  </si>
  <si>
    <t>Ramirez,Ian</t>
  </si>
  <si>
    <t>James,Owen</t>
  </si>
  <si>
    <t>Watson,Jesus</t>
  </si>
  <si>
    <t>Brooks,Landon</t>
  </si>
  <si>
    <t>Kelly,Julian</t>
  </si>
  <si>
    <t>Sanders,Chase</t>
  </si>
  <si>
    <t>Price,Cole</t>
  </si>
  <si>
    <t>Bennett,Diego</t>
  </si>
  <si>
    <t>Wood,Jeremiah</t>
  </si>
  <si>
    <t>Barnes,Steven</t>
  </si>
  <si>
    <t>Ross,Sebastian</t>
  </si>
  <si>
    <t>Henderson,Xavier</t>
  </si>
  <si>
    <t>Coleman,Timothy</t>
  </si>
  <si>
    <t>Jenkins,Carter</t>
  </si>
  <si>
    <t>Perry,Wyatt</t>
  </si>
  <si>
    <t>Powell,Brayden</t>
  </si>
  <si>
    <t>Long,Blake</t>
  </si>
  <si>
    <t>Patterson,Hayden</t>
  </si>
  <si>
    <t>Hughes,Devin</t>
  </si>
  <si>
    <t>Flores,Cody</t>
  </si>
  <si>
    <t>Washington,Richard</t>
  </si>
  <si>
    <t>Butler,Seth</t>
  </si>
  <si>
    <t>Simmons,Dominic</t>
  </si>
  <si>
    <t>Foster,Jaden</t>
  </si>
  <si>
    <t>Gonzales,Antonio</t>
  </si>
  <si>
    <t>Bryant,Miguel</t>
  </si>
  <si>
    <t>Alexander,Liam</t>
  </si>
  <si>
    <t>Russell,Patrick</t>
  </si>
  <si>
    <t>Griffin,Carson</t>
  </si>
  <si>
    <t>Diaz,Jesse</t>
  </si>
  <si>
    <t>Hayes,Tristan</t>
  </si>
  <si>
    <t>Myers,Alejandro</t>
  </si>
  <si>
    <t>Ford,Henry</t>
  </si>
  <si>
    <t>Hamilton,Victor</t>
  </si>
  <si>
    <t>Graham,Trevor</t>
  </si>
  <si>
    <t>Sullivan,Bryce</t>
  </si>
  <si>
    <t>Wallace,Jake</t>
  </si>
  <si>
    <t>Woods,Riley</t>
  </si>
  <si>
    <t>Cole,Colin</t>
  </si>
  <si>
    <t>West,Jared</t>
  </si>
  <si>
    <t>Jordan,Jeremy</t>
  </si>
  <si>
    <t>Owens,Mark</t>
  </si>
  <si>
    <t>Reynolds,Caden</t>
  </si>
  <si>
    <t>Fisher,Garrett</t>
  </si>
  <si>
    <t>Ellis,Parker</t>
  </si>
  <si>
    <t>Harrison,Marcus</t>
  </si>
  <si>
    <t>Gibson,Vincent</t>
  </si>
  <si>
    <t>Mcdonald,Kaleb</t>
  </si>
  <si>
    <t>Cruz,Kaden</t>
  </si>
  <si>
    <t>Marshall,Brady</t>
  </si>
  <si>
    <t>Ortiz,Colton</t>
  </si>
  <si>
    <t>Character</t>
  </si>
  <si>
    <t>Show</t>
  </si>
  <si>
    <t>Student</t>
  </si>
  <si>
    <t>Grade</t>
  </si>
  <si>
    <t>Letter Grade</t>
  </si>
  <si>
    <t>No. Grade</t>
  </si>
  <si>
    <t>Carlton Lassiter </t>
  </si>
  <si>
    <t>Maddie Hayes </t>
  </si>
  <si>
    <t>Moonlighting</t>
  </si>
  <si>
    <t>Russ Geller</t>
  </si>
  <si>
    <t>F</t>
  </si>
  <si>
    <t>Dale Cooper</t>
  </si>
  <si>
    <t>Sam Malone </t>
  </si>
  <si>
    <t>Cheers</t>
  </si>
  <si>
    <t>Sheldon Cooper </t>
  </si>
  <si>
    <t>D-</t>
  </si>
  <si>
    <t>David Addison </t>
  </si>
  <si>
    <t>Dexter Morgan </t>
  </si>
  <si>
    <t>D</t>
  </si>
  <si>
    <t>Adrian Monk</t>
  </si>
  <si>
    <t>Monk</t>
  </si>
  <si>
    <t>Red Forman </t>
  </si>
  <si>
    <t>D+</t>
  </si>
  <si>
    <t>Dr. Elliot Reid </t>
  </si>
  <si>
    <t>Jeff Greene </t>
  </si>
  <si>
    <t>Curb Your Enthusiasm</t>
  </si>
  <si>
    <t>Harold T. Stone</t>
  </si>
  <si>
    <t>C-</t>
  </si>
  <si>
    <t>Dr. Gregory House </t>
  </si>
  <si>
    <t>Norm Peterson </t>
  </si>
  <si>
    <t>Shawn Spencer </t>
  </si>
  <si>
    <t>C</t>
  </si>
  <si>
    <t>Edmund Blackadder </t>
  </si>
  <si>
    <t>Matt Saracen </t>
  </si>
  <si>
    <t>Friday Night Lights</t>
  </si>
  <si>
    <t>Jim Ignatowski</t>
  </si>
  <si>
    <t>C+</t>
  </si>
  <si>
    <t>Eric Cartman </t>
  </si>
  <si>
    <t>Barney Stinson </t>
  </si>
  <si>
    <t>How I Met Your Mother</t>
  </si>
  <si>
    <t>John Locke </t>
  </si>
  <si>
    <t>B-</t>
  </si>
  <si>
    <t>Fox Mulder </t>
  </si>
  <si>
    <t>Bill McNeal </t>
  </si>
  <si>
    <t>NewsRadio</t>
  </si>
  <si>
    <t>B</t>
  </si>
  <si>
    <t>George Costanza </t>
  </si>
  <si>
    <t>Harry Solomon </t>
  </si>
  <si>
    <t>3rd Rock from the Sun</t>
  </si>
  <si>
    <t>B+</t>
  </si>
  <si>
    <t>Gloria Pritchett </t>
  </si>
  <si>
    <t>Kim Bauer </t>
  </si>
  <si>
    <t>Lynette Scavo </t>
  </si>
  <si>
    <t>A-</t>
  </si>
  <si>
    <t>Hank Hill </t>
  </si>
  <si>
    <t>Modern Family</t>
  </si>
  <si>
    <t>Robert Barone </t>
  </si>
  <si>
    <t>A</t>
  </si>
  <si>
    <t>Jack Bauer </t>
  </si>
  <si>
    <t>A+</t>
  </si>
  <si>
    <t>Seinfeld</t>
  </si>
  <si>
    <t>Homer Simpson </t>
  </si>
  <si>
    <t>Phil Dunphy </t>
  </si>
  <si>
    <t>Hurley Reyes </t>
  </si>
  <si>
    <t>Desperate Housewives</t>
  </si>
  <si>
    <t>Bob Kelso</t>
  </si>
  <si>
    <t>King of the Hill</t>
  </si>
  <si>
    <t>Jack Malone </t>
  </si>
  <si>
    <t>Veronica Mars </t>
  </si>
  <si>
    <t>Veronica Mars</t>
  </si>
  <si>
    <t>Walter White </t>
  </si>
  <si>
    <t>Breaking Bad</t>
  </si>
  <si>
    <t>Psych</t>
  </si>
  <si>
    <t>Lorelai Gilmore </t>
  </si>
  <si>
    <t>Scrubs</t>
  </si>
  <si>
    <t>Monica Bing </t>
  </si>
  <si>
    <t>Friends</t>
  </si>
  <si>
    <t>Liz Lemon </t>
  </si>
  <si>
    <t>Night Court</t>
  </si>
  <si>
    <t>South Park</t>
  </si>
  <si>
    <t>Mark Green</t>
  </si>
  <si>
    <t>ER</t>
  </si>
  <si>
    <t>That '70s Show</t>
  </si>
  <si>
    <t>Phillip J. Fry </t>
  </si>
  <si>
    <t>Futurama</t>
  </si>
  <si>
    <t>Natalie Teeger </t>
  </si>
  <si>
    <t>Everybody Loves Raymond</t>
  </si>
  <si>
    <t>Carlton Banks </t>
  </si>
  <si>
    <t>Niles Crane </t>
  </si>
  <si>
    <t>Benjamin Linus </t>
  </si>
  <si>
    <t>Lost</t>
  </si>
  <si>
    <t>The X Files</t>
  </si>
  <si>
    <t>Without A Trace</t>
  </si>
  <si>
    <t>Taxi</t>
  </si>
  <si>
    <t>The Simpsons</t>
  </si>
  <si>
    <t>Blackadder</t>
  </si>
  <si>
    <t>The Fresh Prince of Bel-Air</t>
  </si>
  <si>
    <t>Twin Peaks</t>
  </si>
  <si>
    <t>House, M.D.</t>
  </si>
  <si>
    <t>Dexter</t>
  </si>
  <si>
    <t>Gilmore Girls</t>
  </si>
  <si>
    <t>Frasier</t>
  </si>
  <si>
    <t>30 Rock</t>
  </si>
  <si>
    <t>The Big Bang Theory</t>
  </si>
  <si>
    <t>Contract Expire Dt</t>
  </si>
  <si>
    <t>DOW</t>
  </si>
  <si>
    <t>Year</t>
  </si>
  <si>
    <t>Month</t>
  </si>
  <si>
    <t>Quarter</t>
  </si>
  <si>
    <t>CT_CORE_FIN_AP_VCHR_DT_COMPARE</t>
  </si>
  <si>
    <t>Bonus</t>
  </si>
  <si>
    <t># of vouchers &gt; 10</t>
  </si>
  <si>
    <t>Slacker</t>
  </si>
  <si>
    <t>Days between Vchr entry and Payment &gt; 4</t>
  </si>
  <si>
    <t>Business Unit</t>
  </si>
  <si>
    <t># of Vouchers</t>
  </si>
  <si>
    <t>Days Between
Vchr Entry and Payment</t>
  </si>
  <si>
    <t>User</t>
  </si>
  <si>
    <t>Bonus / Slacker</t>
  </si>
  <si>
    <t>Bonus and Slacker</t>
  </si>
  <si>
    <t>Bonus or Slacker</t>
  </si>
  <si>
    <t>OSCM1</t>
  </si>
  <si>
    <t>Real world problem</t>
  </si>
  <si>
    <t>In the cells in row 37, the user wants a 1 if the cell in row 39 has a number, or a 0 if the cell is empty</t>
  </si>
  <si>
    <t>July</t>
  </si>
  <si>
    <t>August</t>
  </si>
  <si>
    <t>September</t>
  </si>
  <si>
    <t>=IF(OR(A39="",A39=0),0,1)</t>
  </si>
  <si>
    <t>Dept</t>
  </si>
  <si>
    <t>Account</t>
  </si>
  <si>
    <t>SID</t>
  </si>
  <si>
    <t>Budget</t>
  </si>
  <si>
    <t>Assoc Revenue</t>
  </si>
  <si>
    <t>Pre-Encumbrance</t>
  </si>
  <si>
    <t>Encumbrance</t>
  </si>
  <si>
    <t>Expense</t>
  </si>
  <si>
    <t>Remaining</t>
  </si>
  <si>
    <t>Percent</t>
  </si>
  <si>
    <t>Hide Those Messy Error Symbols using formula
Add your formula to column K</t>
  </si>
  <si>
    <t>DOB37011</t>
  </si>
  <si>
    <t>Trial Balance Report</t>
  </si>
  <si>
    <t xml:space="preserve"> 1835</t>
  </si>
  <si>
    <t>CT_CORE_FIN_GL_TRIAL_BALANCE</t>
  </si>
  <si>
    <t>Ledger</t>
  </si>
  <si>
    <t>Acct</t>
  </si>
  <si>
    <t>DeptID</t>
  </si>
  <si>
    <t>Fund</t>
  </si>
  <si>
    <t>Sum Total Amt</t>
  </si>
  <si>
    <t>MOD_ACCRL</t>
  </si>
  <si>
    <t>SDE64270</t>
  </si>
  <si>
    <t>11000</t>
  </si>
  <si>
    <t>18010</t>
  </si>
  <si>
    <t>12060</t>
  </si>
  <si>
    <t>20500</t>
  </si>
  <si>
    <t>20508</t>
  </si>
  <si>
    <t>20514</t>
  </si>
  <si>
    <t>20518</t>
  </si>
  <si>
    <t>20524</t>
  </si>
  <si>
    <t>20533</t>
  </si>
  <si>
    <t>20540</t>
  </si>
  <si>
    <t>20544</t>
  </si>
  <si>
    <t>20548</t>
  </si>
  <si>
    <t>20553</t>
  </si>
  <si>
    <t>20560</t>
  </si>
  <si>
    <t>20679</t>
  </si>
  <si>
    <t>20680</t>
  </si>
  <si>
    <t>20682</t>
  </si>
  <si>
    <t>20742</t>
  </si>
  <si>
    <t>20765</t>
  </si>
  <si>
    <t>20770</t>
  </si>
  <si>
    <t>20784</t>
  </si>
  <si>
    <t>20809</t>
  </si>
  <si>
    <t>20826</t>
  </si>
  <si>
    <t>20848</t>
  </si>
  <si>
    <t>20854</t>
  </si>
  <si>
    <t>20858</t>
  </si>
  <si>
    <t>20863</t>
  </si>
  <si>
    <t>20868</t>
  </si>
  <si>
    <t>20870</t>
  </si>
  <si>
    <t>20873</t>
  </si>
  <si>
    <t>20902</t>
  </si>
  <si>
    <t>20909</t>
  </si>
  <si>
    <t>20949</t>
  </si>
  <si>
    <t>20977</t>
  </si>
  <si>
    <t>20983</t>
  </si>
  <si>
    <t>21074</t>
  </si>
  <si>
    <t>21592</t>
  </si>
  <si>
    <t>22028</t>
  </si>
  <si>
    <t>22051</t>
  </si>
  <si>
    <t>22163</t>
  </si>
  <si>
    <t>22223</t>
  </si>
  <si>
    <t>22307</t>
  </si>
  <si>
    <t>29010</t>
  </si>
  <si>
    <t>29011</t>
  </si>
  <si>
    <t>29012</t>
  </si>
  <si>
    <t>29013</t>
  </si>
  <si>
    <t>29033</t>
  </si>
  <si>
    <t>10010</t>
  </si>
  <si>
    <t>10020</t>
  </si>
  <si>
    <t>SDE64301</t>
  </si>
  <si>
    <t>21003</t>
  </si>
  <si>
    <t>42305</t>
  </si>
  <si>
    <t>35184</t>
  </si>
  <si>
    <t>20409</t>
  </si>
  <si>
    <t>20628</t>
  </si>
  <si>
    <t>29077</t>
  </si>
  <si>
    <t>29079</t>
  </si>
  <si>
    <t>20247</t>
  </si>
  <si>
    <t>20264</t>
  </si>
  <si>
    <t>20277</t>
  </si>
  <si>
    <t>20283</t>
  </si>
  <si>
    <t>20404</t>
  </si>
  <si>
    <t>20595</t>
  </si>
  <si>
    <t>40001</t>
  </si>
  <si>
    <t>20125</t>
  </si>
  <si>
    <t>12240</t>
  </si>
  <si>
    <t>SDE64305</t>
  </si>
  <si>
    <t>SDE64310</t>
  </si>
  <si>
    <t>20311</t>
  </si>
  <si>
    <t>SDE64315</t>
  </si>
  <si>
    <t>SDE64320</t>
  </si>
  <si>
    <t>SDE64346</t>
  </si>
  <si>
    <t>90447</t>
  </si>
  <si>
    <t>SDE64370</t>
  </si>
  <si>
    <t>21964</t>
  </si>
  <si>
    <t>90484</t>
  </si>
  <si>
    <t>12113</t>
  </si>
  <si>
    <t>12052</t>
  </si>
  <si>
    <t>40310</t>
  </si>
  <si>
    <t>42860</t>
  </si>
  <si>
    <t>42861</t>
  </si>
  <si>
    <t>26025</t>
  </si>
  <si>
    <t>30256</t>
  </si>
  <si>
    <t>13009</t>
  </si>
  <si>
    <t>40896</t>
  </si>
  <si>
    <t>13010</t>
  </si>
  <si>
    <t>40901</t>
  </si>
  <si>
    <t>16021</t>
  </si>
  <si>
    <t>16101</t>
  </si>
  <si>
    <t>16106</t>
  </si>
  <si>
    <t>16119</t>
  </si>
  <si>
    <t>16202</t>
  </si>
  <si>
    <t>17030</t>
  </si>
  <si>
    <t>17043</t>
  </si>
  <si>
    <t>17045</t>
  </si>
  <si>
    <t>17053</t>
  </si>
  <si>
    <t>17057</t>
  </si>
  <si>
    <t>16072</t>
  </si>
  <si>
    <t>Get data from this tab</t>
  </si>
  <si>
    <t>05-filter1'!A1</t>
  </si>
  <si>
    <t>Using filter formula to get all the data that have amounts &gt; 300000 and Fund is "12060" or "13010"</t>
  </si>
  <si>
    <t>ct_pc_to_gl_ledger</t>
  </si>
  <si>
    <t>Use Conditional Formatting to Dynamically Highlight Rows of Data, we need you to use conditional formatting to dynamically highlight the table (A9:O130) based on column Q3:Q9</t>
  </si>
  <si>
    <t>12017</t>
  </si>
  <si>
    <t>12175</t>
  </si>
  <si>
    <t>21361</t>
  </si>
  <si>
    <t>22100</t>
  </si>
  <si>
    <t>22101</t>
  </si>
  <si>
    <t>PC Business Unit</t>
  </si>
  <si>
    <t>Department</t>
  </si>
  <si>
    <t>Program</t>
  </si>
  <si>
    <t>Budget Reference</t>
  </si>
  <si>
    <t>Fiscal Year</t>
  </si>
  <si>
    <t>Accounting Period</t>
  </si>
  <si>
    <t>Project</t>
  </si>
  <si>
    <t>Activity</t>
  </si>
  <si>
    <t>Amount</t>
  </si>
  <si>
    <t>Journal Date</t>
  </si>
  <si>
    <t>Journal ID</t>
  </si>
  <si>
    <t>22106</t>
  </si>
  <si>
    <t>DOTM1</t>
  </si>
  <si>
    <t>12001</t>
  </si>
  <si>
    <t>DOT57931</t>
  </si>
  <si>
    <t>32003</t>
  </si>
  <si>
    <t>52033</t>
  </si>
  <si>
    <t>2011</t>
  </si>
  <si>
    <t>DOT01702782OP</t>
  </si>
  <si>
    <t>TT0000</t>
  </si>
  <si>
    <t>AP00822104</t>
  </si>
  <si>
    <t>40010</t>
  </si>
  <si>
    <t>DOT01702697OP</t>
  </si>
  <si>
    <t>DOT04000001OP</t>
  </si>
  <si>
    <t>AP00822105</t>
  </si>
  <si>
    <t>12011</t>
  </si>
  <si>
    <t>12378</t>
  </si>
  <si>
    <t>DOT04200041OP</t>
  </si>
  <si>
    <t>AP00822532</t>
  </si>
  <si>
    <t>DOT04200040OP</t>
  </si>
  <si>
    <t>12062</t>
  </si>
  <si>
    <t>DOT57533</t>
  </si>
  <si>
    <t>35002</t>
  </si>
  <si>
    <t>51210</t>
  </si>
  <si>
    <t>DOT07099996PL</t>
  </si>
  <si>
    <t>UR0000</t>
  </si>
  <si>
    <t>AP00822705</t>
  </si>
  <si>
    <t>DOT57353</t>
  </si>
  <si>
    <t>DOT01702805OP</t>
  </si>
  <si>
    <t>DOT01702807OP</t>
  </si>
  <si>
    <t>DOT04270047OP</t>
  </si>
  <si>
    <t>AP00823050</t>
  </si>
  <si>
    <t>53311</t>
  </si>
  <si>
    <t>DOT00320142OP</t>
  </si>
  <si>
    <t>DOT01430179OP</t>
  </si>
  <si>
    <t>AP00823550</t>
  </si>
  <si>
    <t>21359</t>
  </si>
  <si>
    <t>DOT01702893OP</t>
  </si>
  <si>
    <t>DOT01640230OP</t>
  </si>
  <si>
    <t>DOT01702989RS</t>
  </si>
  <si>
    <t>AP00823551</t>
  </si>
  <si>
    <t>DOT04330016OP</t>
  </si>
  <si>
    <t>AP00823981</t>
  </si>
  <si>
    <t>DOT04420016OP</t>
  </si>
  <si>
    <t>DOT04310021OP</t>
  </si>
  <si>
    <t>AP00824408</t>
  </si>
  <si>
    <t>55670</t>
  </si>
  <si>
    <t>DOT00360188EQ</t>
  </si>
  <si>
    <t>EQ0000</t>
  </si>
  <si>
    <t>AP00824871</t>
  </si>
  <si>
    <t>DOT01702760OP</t>
  </si>
  <si>
    <t>DOT01702827OP</t>
  </si>
  <si>
    <t>12168</t>
  </si>
  <si>
    <t>32002</t>
  </si>
  <si>
    <t>DOT04020028OP</t>
  </si>
  <si>
    <t>AP00825474</t>
  </si>
  <si>
    <t>DOT04120123OP</t>
  </si>
  <si>
    <t>MS0000</t>
  </si>
  <si>
    <t>AP00825908</t>
  </si>
  <si>
    <t>DOT04120122OP</t>
  </si>
  <si>
    <t>AP00826400</t>
  </si>
  <si>
    <t>DOT57342</t>
  </si>
  <si>
    <t>DOT01702891OP</t>
  </si>
  <si>
    <t>DOT00630663OP</t>
  </si>
  <si>
    <t>DOT04120118OP</t>
  </si>
  <si>
    <t>DOT04120127OP</t>
  </si>
  <si>
    <t>DOT04120121OP</t>
  </si>
  <si>
    <t>DOT04120124OP</t>
  </si>
  <si>
    <t>DOT04120125OP</t>
  </si>
  <si>
    <t>DOT04120120OP</t>
  </si>
  <si>
    <t>DOT04120119OP</t>
  </si>
  <si>
    <t>DOT00940238OP</t>
  </si>
  <si>
    <t>AP00826401</t>
  </si>
  <si>
    <t>22099</t>
  </si>
  <si>
    <t>DOT01702638OP</t>
  </si>
  <si>
    <t>51230</t>
  </si>
  <si>
    <t>DOT04000005OP</t>
  </si>
  <si>
    <t>DOT04100065OP</t>
  </si>
  <si>
    <t>AP00826862</t>
  </si>
  <si>
    <t>DOT04100064OP</t>
  </si>
  <si>
    <t>22102</t>
  </si>
  <si>
    <t>DOT57191</t>
  </si>
  <si>
    <t>34001</t>
  </si>
  <si>
    <t>55850</t>
  </si>
  <si>
    <t>DOT03010056CN</t>
  </si>
  <si>
    <t>UT0000</t>
  </si>
  <si>
    <t>AP00827348</t>
  </si>
  <si>
    <t>DOT04100067OP</t>
  </si>
  <si>
    <t>DOT04100068OP</t>
  </si>
  <si>
    <t>AP00827349</t>
  </si>
  <si>
    <t>DOT04530016OP</t>
  </si>
  <si>
    <t>DOT04410017OP</t>
  </si>
  <si>
    <t>DOT04100063OP</t>
  </si>
  <si>
    <t>AP00827804</t>
  </si>
  <si>
    <t>AP00828701</t>
  </si>
  <si>
    <t>DOT07119996PL</t>
  </si>
  <si>
    <t>AP00829914</t>
  </si>
  <si>
    <t>DOT04720061OP</t>
  </si>
  <si>
    <t>AP00830296</t>
  </si>
  <si>
    <t>DOT04720059OP</t>
  </si>
  <si>
    <t>DOT04160053EQ</t>
  </si>
  <si>
    <t>DOT04270052EQ</t>
  </si>
  <si>
    <t>DOT01702889OP</t>
  </si>
  <si>
    <t>DOT04760060OP</t>
  </si>
  <si>
    <t>DOT04270043RS</t>
  </si>
  <si>
    <t>AP00830297</t>
  </si>
  <si>
    <t>DOT04320017OP</t>
  </si>
  <si>
    <t>AP00830781</t>
  </si>
  <si>
    <t>45020</t>
  </si>
  <si>
    <t>AR00824530</t>
  </si>
  <si>
    <t>MOD_CASH</t>
  </si>
  <si>
    <t>AR00826526</t>
  </si>
  <si>
    <t>AR00828811</t>
  </si>
  <si>
    <t>2010</t>
  </si>
  <si>
    <t>DOT04780067OP</t>
  </si>
  <si>
    <t>AR00829814</t>
  </si>
  <si>
    <t>DOT04780031RS</t>
  </si>
  <si>
    <t>DOT04740039EQ</t>
  </si>
  <si>
    <t>DOT04800021OP</t>
  </si>
  <si>
    <t>DOT04740080OP</t>
  </si>
  <si>
    <t>DOT04780060EQ</t>
  </si>
  <si>
    <t>DOT04800051OP</t>
  </si>
  <si>
    <t>DOT01702785OP</t>
  </si>
  <si>
    <t>DOT04780060RS</t>
  </si>
  <si>
    <t>AR00833178</t>
  </si>
  <si>
    <t>51892</t>
  </si>
  <si>
    <t>DOT03010039CN</t>
  </si>
  <si>
    <t>DOTDG00100</t>
  </si>
  <si>
    <t>DOT57951</t>
  </si>
  <si>
    <t>55890</t>
  </si>
  <si>
    <t>DOT03000074EQ</t>
  </si>
  <si>
    <t>DOTDG00144</t>
  </si>
  <si>
    <t>DOT03000099CN</t>
  </si>
  <si>
    <t>DOTDG00148</t>
  </si>
  <si>
    <t>DOT04780057OP</t>
  </si>
  <si>
    <t>DOTDG00151</t>
  </si>
  <si>
    <t>DOT57911</t>
  </si>
  <si>
    <t>DOT04780053OP</t>
  </si>
  <si>
    <t>DOT01702806OP</t>
  </si>
  <si>
    <t>DOTPF00125</t>
  </si>
  <si>
    <t>22108</t>
  </si>
  <si>
    <t>10446</t>
  </si>
  <si>
    <t>DOT00630560CN</t>
  </si>
  <si>
    <t>PCR0822310</t>
  </si>
  <si>
    <t>PCR0822770</t>
  </si>
  <si>
    <t>DOT01360071CN</t>
  </si>
  <si>
    <t>PCR0822780</t>
  </si>
  <si>
    <t>DOT00920412CN</t>
  </si>
  <si>
    <t>PCR0823339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</si>
</sst>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000"/>
    <numFmt numFmtId="165" formatCode="[$-409]mmmm\-yy"/>
    <numFmt numFmtId="166" formatCode="_(* #,##0_);_(* \(#,##0\);_(* &quot;-&quot;??_);_(@_)"/>
    <numFmt numFmtId="167" formatCode=";;;"/>
    <numFmt numFmtId="168" formatCode="0.000"/>
  </numFmts>
  <fonts count="14">
    <font>
      <sz val="10"/>
      <color rgb="FF000000"/>
      <name val="Calibri"/>
      <scheme val="minor"/>
    </font>
    <font>
      <b/>
      <sz val="10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  <font>
      <b/>
      <sz val="10"/>
      <name val="Arimo"/>
    </font>
    <font>
      <sz val="10"/>
      <color rgb="FF333399"/>
      <name val="Arial"/>
      <family val="2"/>
    </font>
    <font>
      <sz val="10"/>
      <color rgb="FF000000"/>
      <name val="Comic Sans MS"/>
      <family val="4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name val="Arimo"/>
    </font>
    <font>
      <u/>
      <sz val="10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969696"/>
        <bgColor rgb="FF969696"/>
      </patternFill>
    </fill>
    <fill>
      <patternFill patternType="solid">
        <fgColor rgb="FF808080"/>
        <bgColor rgb="FF808080"/>
      </patternFill>
    </fill>
  </fills>
  <borders count="20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/>
    </xf>
    <xf numFmtId="49" fontId="4" fillId="2" borderId="1" xfId="0" applyNumberFormat="1" applyFont="1" applyFill="1" applyBorder="1"/>
    <xf numFmtId="43" fontId="3" fillId="0" borderId="0" xfId="0" applyNumberFormat="1" applyFont="1"/>
    <xf numFmtId="49" fontId="3" fillId="0" borderId="0" xfId="0" applyNumberFormat="1" applyFont="1"/>
    <xf numFmtId="164" fontId="3" fillId="0" borderId="0" xfId="0" applyNumberFormat="1" applyFont="1"/>
    <xf numFmtId="14" fontId="3" fillId="0" borderId="0" xfId="0" applyNumberFormat="1" applyFont="1"/>
    <xf numFmtId="49" fontId="4" fillId="2" borderId="2" xfId="0" applyNumberFormat="1" applyFont="1" applyFill="1" applyBorder="1"/>
    <xf numFmtId="49" fontId="4" fillId="2" borderId="3" xfId="0" applyNumberFormat="1" applyFont="1" applyFill="1" applyBorder="1"/>
    <xf numFmtId="49" fontId="4" fillId="2" borderId="4" xfId="0" applyNumberFormat="1" applyFont="1" applyFill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14" fontId="3" fillId="4" borderId="10" xfId="0" applyNumberFormat="1" applyFont="1" applyFill="1" applyBorder="1" applyAlignment="1">
      <alignment horizontal="center"/>
    </xf>
    <xf numFmtId="0" fontId="3" fillId="5" borderId="10" xfId="0" applyFont="1" applyFill="1" applyBorder="1" applyAlignment="1">
      <alignment horizontal="right"/>
    </xf>
    <xf numFmtId="0" fontId="3" fillId="0" borderId="0" xfId="0" quotePrefix="1" applyFont="1"/>
    <xf numFmtId="49" fontId="4" fillId="2" borderId="1" xfId="0" applyNumberFormat="1" applyFont="1" applyFill="1" applyBorder="1" applyAlignment="1">
      <alignment wrapText="1"/>
    </xf>
    <xf numFmtId="49" fontId="4" fillId="2" borderId="1" xfId="0" applyNumberFormat="1" applyFont="1" applyFill="1" applyBorder="1" applyAlignment="1">
      <alignment horizontal="center"/>
    </xf>
    <xf numFmtId="165" fontId="5" fillId="2" borderId="11" xfId="0" applyNumberFormat="1" applyFont="1" applyFill="1" applyBorder="1" applyAlignment="1">
      <alignment horizontal="center"/>
    </xf>
    <xf numFmtId="3" fontId="3" fillId="0" borderId="12" xfId="0" applyNumberFormat="1" applyFont="1" applyBorder="1"/>
    <xf numFmtId="166" fontId="3" fillId="0" borderId="13" xfId="0" applyNumberFormat="1" applyFont="1" applyBorder="1"/>
    <xf numFmtId="166" fontId="6" fillId="0" borderId="14" xfId="0" applyNumberFormat="1" applyFont="1" applyBorder="1" applyAlignment="1">
      <alignment horizontal="right" wrapText="1"/>
    </xf>
    <xf numFmtId="166" fontId="6" fillId="0" borderId="15" xfId="0" applyNumberFormat="1" applyFont="1" applyBorder="1" applyAlignment="1">
      <alignment horizontal="right" wrapText="1"/>
    </xf>
    <xf numFmtId="43" fontId="3" fillId="0" borderId="13" xfId="0" applyNumberFormat="1" applyFont="1" applyBorder="1"/>
    <xf numFmtId="167" fontId="3" fillId="0" borderId="0" xfId="0" quotePrefix="1" applyNumberFormat="1" applyFont="1"/>
    <xf numFmtId="0" fontId="7" fillId="6" borderId="10" xfId="0" applyFont="1" applyFill="1" applyBorder="1" applyAlignment="1">
      <alignment vertical="top" wrapText="1"/>
    </xf>
    <xf numFmtId="43" fontId="3" fillId="0" borderId="16" xfId="0" applyNumberFormat="1" applyFont="1" applyBorder="1"/>
    <xf numFmtId="9" fontId="3" fillId="0" borderId="13" xfId="0" applyNumberFormat="1" applyFont="1" applyBorder="1"/>
    <xf numFmtId="0" fontId="8" fillId="0" borderId="0" xfId="0" quotePrefix="1" applyFont="1"/>
    <xf numFmtId="0" fontId="3" fillId="0" borderId="17" xfId="0" applyFont="1" applyBorder="1"/>
    <xf numFmtId="0" fontId="3" fillId="0" borderId="18" xfId="0" applyFont="1" applyBorder="1"/>
    <xf numFmtId="4" fontId="3" fillId="0" borderId="18" xfId="0" applyNumberFormat="1" applyFont="1" applyBorder="1"/>
    <xf numFmtId="0" fontId="3" fillId="0" borderId="19" xfId="0" applyFont="1" applyBorder="1"/>
    <xf numFmtId="168" fontId="3" fillId="0" borderId="0" xfId="0" applyNumberFormat="1" applyFont="1"/>
    <xf numFmtId="0" fontId="9" fillId="0" borderId="0" xfId="0" applyFont="1"/>
    <xf numFmtId="0" fontId="7" fillId="7" borderId="2" xfId="0" applyFont="1" applyFill="1" applyBorder="1"/>
    <xf numFmtId="0" fontId="11" fillId="0" borderId="0" xfId="0" applyFont="1" applyAlignment="1">
      <alignment horizontal="left" vertical="center" readingOrder="1"/>
    </xf>
    <xf numFmtId="0" fontId="12" fillId="0" borderId="0" xfId="0" applyFont="1"/>
    <xf numFmtId="0" fontId="10" fillId="0" borderId="0" xfId="1" quotePrefix="1" applyAlignment="1"/>
    <xf numFmtId="43" fontId="3" fillId="0" borderId="2" xfId="0" applyNumberFormat="1" applyFont="1" applyBorder="1"/>
    <xf numFmtId="0" fontId="0" fillId="0" borderId="2" xfId="0" applyBorder="1"/>
    <xf numFmtId="0" fontId="3" fillId="0" borderId="2" xfId="0" applyFont="1" applyBorder="1"/>
    <xf numFmtId="0" fontId="7" fillId="6" borderId="16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3" fillId="5" borderId="10" xfId="0" applyFont="1" applyFill="1" applyBorder="1" applyAlignment="1">
      <alignment horizontal="left" wrapText="1"/>
    </xf>
    <xf numFmtId="0" fontId="13" fillId="0" borderId="10" xfId="0" applyFont="1" applyBorder="1" applyAlignment="1">
      <alignment horizontal="center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2">
    <dxf>
      <fill>
        <patternFill patternType="solid">
          <bgColor rgb="FF92D050"/>
        </patternFill>
      </fill>
    </dxf>
    <dxf>
      <fill>
        <patternFill patternType="none"/>
      </fill>
      <border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92"/>
  <sheetViews>
    <sheetView showGridLines="0" workbookViewId="0"/>
  </sheetViews>
  <sheetFormatPr defaultColWidth="14.44140625" defaultRowHeight="15" customHeight="1"/>
  <cols>
    <col min="1" max="1" width="25.5546875" customWidth="1"/>
    <col min="2" max="2" width="57.5546875" customWidth="1"/>
    <col min="3" max="11" width="8.6640625" customWidth="1"/>
  </cols>
  <sheetData>
    <row r="1" spans="1:3" ht="12.75" customHeight="1"/>
    <row r="2" spans="1:3" ht="12.75" customHeight="1">
      <c r="A2" s="1" t="s">
        <v>0</v>
      </c>
      <c r="B2" s="1" t="s">
        <v>1</v>
      </c>
    </row>
    <row r="3" spans="1:3" ht="12.75" customHeight="1"/>
    <row r="4" spans="1:3" ht="18.75" customHeight="1">
      <c r="A4" s="2" t="s">
        <v>2</v>
      </c>
      <c r="B4" s="3" t="s">
        <v>3</v>
      </c>
      <c r="C4" s="4"/>
    </row>
    <row r="5" spans="1:3" ht="18.75" customHeight="1">
      <c r="A5" s="2" t="s">
        <v>4</v>
      </c>
      <c r="B5" s="3" t="s">
        <v>5</v>
      </c>
      <c r="C5" s="4"/>
    </row>
    <row r="6" spans="1:3" ht="18.75" customHeight="1">
      <c r="A6" s="2" t="s">
        <v>6</v>
      </c>
      <c r="B6" s="3" t="s">
        <v>7</v>
      </c>
      <c r="C6" s="4"/>
    </row>
    <row r="7" spans="1:3" ht="18.75" customHeight="1">
      <c r="A7" s="2" t="s">
        <v>8</v>
      </c>
      <c r="B7" s="3" t="s">
        <v>9</v>
      </c>
      <c r="C7" s="4"/>
    </row>
    <row r="8" spans="1:3" ht="18.75" customHeight="1">
      <c r="A8" s="2" t="s">
        <v>10</v>
      </c>
      <c r="B8" s="3" t="s">
        <v>11</v>
      </c>
      <c r="C8" s="4"/>
    </row>
    <row r="9" spans="1:3" ht="18.75" customHeight="1">
      <c r="A9" s="2" t="s">
        <v>12</v>
      </c>
      <c r="B9" s="3" t="s">
        <v>13</v>
      </c>
      <c r="C9" s="4"/>
    </row>
    <row r="10" spans="1:3" ht="18.75" customHeight="1">
      <c r="A10" s="2" t="s">
        <v>14</v>
      </c>
      <c r="B10" s="3" t="s">
        <v>15</v>
      </c>
      <c r="C10" s="4"/>
    </row>
    <row r="11" spans="1:3" ht="18.75" customHeight="1">
      <c r="A11" s="2" t="s">
        <v>16</v>
      </c>
      <c r="B11" s="3" t="s">
        <v>17</v>
      </c>
      <c r="C11" s="4"/>
    </row>
    <row r="12" spans="1:3" ht="12.75" customHeight="1">
      <c r="A12" s="49" t="s">
        <v>18</v>
      </c>
      <c r="B12" s="3" t="s">
        <v>19</v>
      </c>
    </row>
    <row r="13" spans="1:3" ht="12.75" customHeight="1"/>
    <row r="14" spans="1:3" ht="12.75" customHeight="1"/>
    <row r="15" spans="1:3" ht="12.75" customHeight="1"/>
    <row r="16" spans="1:3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</sheetData>
  <hyperlinks>
    <hyperlink ref="A4" location="'01-Intro'!A1" display="01-Introduction" xr:uid="{00000000-0004-0000-0000-000000000000}"/>
    <hyperlink ref="A5" location="'03-VLOOKUP'!A1" display="03-VLOOKUP" xr:uid="{00000000-0004-0000-0000-000001000000}"/>
    <hyperlink ref="A6" location="'03-Date to Period Conversion'!A1" display="03-Date to Period Conversion" xr:uid="{00000000-0004-0000-0000-000002000000}"/>
    <hyperlink ref="A7" location="'05-filter1'!A1" display="05-filter1" xr:uid="{00000000-0004-0000-0000-000006000000}"/>
    <hyperlink ref="A8" location="'05-filter2'!A1" display="05-filter2" xr:uid="{00000000-0004-0000-0000-000007000000}"/>
    <hyperlink ref="A9" location="'06-CF Row Banding'!A1" display="06-CF Row Banding" xr:uid="{00000000-0004-0000-0000-000008000000}"/>
    <hyperlink ref="A10" location="'02-IF'!A1" display="02-IF" xr:uid="{00000000-0004-0000-0000-000009000000}"/>
    <hyperlink ref="A11" location="'02-IF-ISERROR'!A1" display="02-IF-ISERROR" xr:uid="{00000000-0004-0000-0000-00000A000000}"/>
    <hyperlink ref="A12" location="'Nested IF'!A1" display="'Nested IF'!A1" xr:uid="{89A72480-130C-4B0B-A5CC-BDBD41BA2CE8}"/>
  </hyperlinks>
  <pageMargins left="0.75" right="0.75" top="0.78" bottom="0.85" header="0" footer="0"/>
  <pageSetup scale="9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P216"/>
  <sheetViews>
    <sheetView showGridLines="0" topLeftCell="B2" workbookViewId="0">
      <selection activeCell="M5" sqref="M5"/>
    </sheetView>
  </sheetViews>
  <sheetFormatPr defaultColWidth="14.44140625" defaultRowHeight="15" customHeight="1"/>
  <cols>
    <col min="1" max="1" width="7.44140625" customWidth="1"/>
    <col min="2" max="2" width="12.44140625" customWidth="1"/>
    <col min="3" max="3" width="23.44140625" customWidth="1"/>
    <col min="4" max="4" width="10.109375" customWidth="1"/>
    <col min="5" max="5" width="12.33203125" customWidth="1"/>
    <col min="6" max="6" width="9.5546875" customWidth="1"/>
    <col min="7" max="7" width="10.6640625" customWidth="1"/>
    <col min="8" max="8" width="14" customWidth="1"/>
    <col min="9" max="9" width="6" customWidth="1"/>
    <col min="10" max="10" width="16.5546875" customWidth="1"/>
    <col min="11" max="11" width="14" customWidth="1"/>
    <col min="12" max="12" width="11.44140625" customWidth="1"/>
    <col min="13" max="13" width="15.109375" customWidth="1"/>
    <col min="14" max="14" width="12.88671875" customWidth="1"/>
    <col min="15" max="15" width="9" customWidth="1"/>
    <col min="16" max="16" width="10.33203125" customWidth="1"/>
  </cols>
  <sheetData>
    <row r="1" spans="1:12" ht="12.75" customHeight="1">
      <c r="B1" s="2" t="s">
        <v>20</v>
      </c>
    </row>
    <row r="2" spans="1:12" s="51" customFormat="1" ht="12.75" customHeight="1">
      <c r="A2" s="50"/>
      <c r="B2" s="50"/>
    </row>
    <row r="3" spans="1:12" ht="12.75" customHeight="1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J3" s="5" t="s">
        <v>24</v>
      </c>
      <c r="K3" s="5" t="s">
        <v>29</v>
      </c>
      <c r="L3" s="5" t="s">
        <v>30</v>
      </c>
    </row>
    <row r="4" spans="1:12" ht="12.75" customHeight="1">
      <c r="A4" s="7">
        <v>311587</v>
      </c>
      <c r="B4">
        <v>0</v>
      </c>
      <c r="C4" s="7" t="s">
        <v>31</v>
      </c>
      <c r="D4" s="7" t="s">
        <v>32</v>
      </c>
      <c r="E4" s="7" t="s">
        <v>33</v>
      </c>
      <c r="F4" s="8">
        <v>2</v>
      </c>
      <c r="G4" s="9">
        <v>40528</v>
      </c>
      <c r="H4" s="7" t="s">
        <v>34</v>
      </c>
      <c r="J4" s="5" t="s">
        <v>32</v>
      </c>
      <c r="K4">
        <f>COUNTIF(D2:D216,"SP")</f>
        <v>88</v>
      </c>
      <c r="L4">
        <f>SUMIF(D2:D216, "SP", F2:F216)</f>
        <v>221.25</v>
      </c>
    </row>
    <row r="5" spans="1:12" ht="12.75" customHeight="1">
      <c r="A5" s="7">
        <v>645109</v>
      </c>
      <c r="B5">
        <v>0</v>
      </c>
      <c r="C5" s="7" t="s">
        <v>35</v>
      </c>
      <c r="D5" s="7" t="s">
        <v>36</v>
      </c>
      <c r="E5" s="7" t="s">
        <v>33</v>
      </c>
      <c r="F5" s="8">
        <v>8</v>
      </c>
      <c r="G5" s="9">
        <v>40527</v>
      </c>
      <c r="H5" s="7" t="s">
        <v>37</v>
      </c>
      <c r="J5" s="5" t="s">
        <v>36</v>
      </c>
      <c r="K5">
        <f>COUNTIF(D2:D216,"SFFNR")</f>
        <v>6</v>
      </c>
      <c r="L5">
        <f>SUMIF(D3:D217, "SFFNR", F3:F217)</f>
        <v>48</v>
      </c>
    </row>
    <row r="6" spans="1:12" ht="12.75" customHeight="1">
      <c r="A6" s="7">
        <v>645109</v>
      </c>
      <c r="B6">
        <v>0</v>
      </c>
      <c r="C6" s="7" t="s">
        <v>35</v>
      </c>
      <c r="D6" s="7" t="s">
        <v>36</v>
      </c>
      <c r="E6" s="7" t="s">
        <v>33</v>
      </c>
      <c r="F6" s="8">
        <v>8</v>
      </c>
      <c r="G6" s="9">
        <v>40528</v>
      </c>
      <c r="H6" s="7" t="s">
        <v>34</v>
      </c>
      <c r="J6" s="5" t="s">
        <v>38</v>
      </c>
      <c r="K6">
        <f>COUNTIF(D2:D216,"SFAM")</f>
        <v>21</v>
      </c>
      <c r="L6">
        <f>SUMIF(D4:D218, "SFAM", F4:F218)</f>
        <v>81</v>
      </c>
    </row>
    <row r="7" spans="1:12" ht="12.75" customHeight="1">
      <c r="A7" s="7">
        <v>835119</v>
      </c>
      <c r="B7">
        <v>0</v>
      </c>
      <c r="C7" s="7" t="s">
        <v>39</v>
      </c>
      <c r="D7" s="7" t="s">
        <v>38</v>
      </c>
      <c r="E7" s="7" t="s">
        <v>33</v>
      </c>
      <c r="F7" s="8">
        <v>5</v>
      </c>
      <c r="G7" s="9">
        <v>40527</v>
      </c>
      <c r="H7" s="7" t="s">
        <v>37</v>
      </c>
      <c r="J7" s="5" t="s">
        <v>40</v>
      </c>
      <c r="K7">
        <f>COUNTIF(D2:D216,"SFNRL")</f>
        <v>9</v>
      </c>
      <c r="L7">
        <f>SUMIF(D5:D219, "SFNRL", F5:F219)</f>
        <v>39</v>
      </c>
    </row>
    <row r="8" spans="1:12" ht="12.75" customHeight="1">
      <c r="A8" s="7">
        <v>921565</v>
      </c>
      <c r="B8">
        <v>0</v>
      </c>
      <c r="C8" s="7" t="s">
        <v>41</v>
      </c>
      <c r="D8" s="7" t="s">
        <v>40</v>
      </c>
      <c r="E8" s="7" t="s">
        <v>33</v>
      </c>
      <c r="F8" s="8">
        <v>8</v>
      </c>
      <c r="G8" s="9">
        <v>40528</v>
      </c>
      <c r="H8" s="7" t="s">
        <v>34</v>
      </c>
      <c r="J8" s="5" t="s">
        <v>42</v>
      </c>
      <c r="K8">
        <f>COUNTIF(D2:D216,"SICK")</f>
        <v>89</v>
      </c>
      <c r="L8">
        <f>SUMIF(D6:D220, "SICK", F6:F220)</f>
        <v>528</v>
      </c>
    </row>
    <row r="9" spans="1:12" ht="12.75" customHeight="1">
      <c r="A9" s="7">
        <v>904174</v>
      </c>
      <c r="B9">
        <v>0</v>
      </c>
      <c r="C9" s="7" t="s">
        <v>43</v>
      </c>
      <c r="D9" s="7" t="s">
        <v>32</v>
      </c>
      <c r="E9" s="7" t="s">
        <v>33</v>
      </c>
      <c r="F9" s="8">
        <v>4</v>
      </c>
      <c r="G9" s="9">
        <v>40528</v>
      </c>
      <c r="H9" s="7" t="s">
        <v>34</v>
      </c>
    </row>
    <row r="10" spans="1:12" ht="12.75" customHeight="1">
      <c r="A10" s="7">
        <v>108501</v>
      </c>
      <c r="B10">
        <v>0</v>
      </c>
      <c r="C10" s="7" t="s">
        <v>44</v>
      </c>
      <c r="D10" s="7" t="s">
        <v>38</v>
      </c>
      <c r="E10" s="7" t="s">
        <v>33</v>
      </c>
      <c r="F10" s="8">
        <v>3.5</v>
      </c>
      <c r="G10" s="9">
        <v>40527</v>
      </c>
      <c r="H10" s="7" t="s">
        <v>37</v>
      </c>
    </row>
    <row r="11" spans="1:12" ht="12.75" customHeight="1">
      <c r="A11" s="7">
        <v>806984</v>
      </c>
      <c r="B11">
        <v>0</v>
      </c>
      <c r="C11" s="7" t="s">
        <v>45</v>
      </c>
      <c r="D11" s="7" t="s">
        <v>42</v>
      </c>
      <c r="E11" s="7" t="s">
        <v>33</v>
      </c>
      <c r="F11" s="8">
        <v>8</v>
      </c>
      <c r="G11" s="9">
        <v>40528</v>
      </c>
      <c r="H11" s="7" t="s">
        <v>34</v>
      </c>
    </row>
    <row r="12" spans="1:12" ht="12.75" customHeight="1">
      <c r="A12" s="7">
        <v>605544</v>
      </c>
      <c r="B12">
        <v>0</v>
      </c>
      <c r="C12" s="7" t="s">
        <v>46</v>
      </c>
      <c r="D12" s="7" t="s">
        <v>36</v>
      </c>
      <c r="E12" s="7" t="s">
        <v>33</v>
      </c>
      <c r="F12" s="8">
        <v>8</v>
      </c>
      <c r="G12" s="9">
        <v>40527</v>
      </c>
      <c r="H12" s="7" t="s">
        <v>37</v>
      </c>
      <c r="J12" s="5" t="s">
        <v>28</v>
      </c>
      <c r="K12" s="5" t="s">
        <v>29</v>
      </c>
      <c r="L12" s="5" t="s">
        <v>30</v>
      </c>
    </row>
    <row r="13" spans="1:12" ht="12.75" customHeight="1">
      <c r="A13" s="7">
        <v>261528</v>
      </c>
      <c r="B13">
        <v>0</v>
      </c>
      <c r="C13" s="7" t="s">
        <v>47</v>
      </c>
      <c r="D13" s="7" t="s">
        <v>42</v>
      </c>
      <c r="E13" s="7" t="s">
        <v>33</v>
      </c>
      <c r="F13" s="8">
        <v>8</v>
      </c>
      <c r="G13" s="9">
        <v>40527</v>
      </c>
      <c r="H13" s="7" t="s">
        <v>37</v>
      </c>
      <c r="J13" s="5" t="s">
        <v>48</v>
      </c>
      <c r="K13">
        <f>COUNTIF(H2:H216,"MONDAY")</f>
        <v>29</v>
      </c>
      <c r="L13">
        <f>SUMIF(H2:H216, "MONDAY", F2:F216)</f>
        <v>111.5</v>
      </c>
    </row>
    <row r="14" spans="1:12" ht="12.75" customHeight="1">
      <c r="A14" s="7">
        <v>261528</v>
      </c>
      <c r="B14">
        <v>0</v>
      </c>
      <c r="C14" s="7" t="s">
        <v>47</v>
      </c>
      <c r="D14" s="7" t="s">
        <v>42</v>
      </c>
      <c r="E14" s="7" t="s">
        <v>33</v>
      </c>
      <c r="F14" s="8">
        <v>8</v>
      </c>
      <c r="G14" s="9">
        <v>40528</v>
      </c>
      <c r="H14" s="7" t="s">
        <v>34</v>
      </c>
      <c r="J14" s="5" t="s">
        <v>49</v>
      </c>
      <c r="K14">
        <f>COUNTIF(H2:H216,"TUESDAY")</f>
        <v>50</v>
      </c>
      <c r="L14">
        <f>SUMIF(H2:H216, "TUESDAY", F2:F216)</f>
        <v>225.75</v>
      </c>
    </row>
    <row r="15" spans="1:12" ht="12.75" customHeight="1">
      <c r="A15" s="7">
        <v>682726</v>
      </c>
      <c r="B15">
        <v>0</v>
      </c>
      <c r="C15" s="7" t="s">
        <v>50</v>
      </c>
      <c r="D15" s="7" t="s">
        <v>32</v>
      </c>
      <c r="E15" s="7" t="s">
        <v>33</v>
      </c>
      <c r="F15" s="8">
        <v>1</v>
      </c>
      <c r="G15" s="9">
        <v>40527</v>
      </c>
      <c r="H15" s="7" t="s">
        <v>37</v>
      </c>
      <c r="J15" s="5" t="s">
        <v>37</v>
      </c>
      <c r="K15">
        <f>COUNTIF(H2:H216,"WEDNESDAY")</f>
        <v>60</v>
      </c>
      <c r="L15">
        <f>SUMIF(H2:H216, "WEDNESDAY", F2:F216)</f>
        <v>260</v>
      </c>
    </row>
    <row r="16" spans="1:12" ht="12.75" customHeight="1">
      <c r="A16" s="7">
        <v>682726</v>
      </c>
      <c r="B16">
        <v>0</v>
      </c>
      <c r="C16" s="7" t="s">
        <v>50</v>
      </c>
      <c r="D16" s="7" t="s">
        <v>32</v>
      </c>
      <c r="E16" s="7" t="s">
        <v>33</v>
      </c>
      <c r="F16" s="8">
        <v>1.5</v>
      </c>
      <c r="G16" s="9">
        <v>40528</v>
      </c>
      <c r="H16" s="7" t="s">
        <v>34</v>
      </c>
      <c r="J16" s="5" t="s">
        <v>34</v>
      </c>
      <c r="K16">
        <f>COUNTIF(H2:H216,"THURSDAY")</f>
        <v>48</v>
      </c>
      <c r="L16">
        <f>SUMIF(H2:H216, "THURSDAY", F2:F216)</f>
        <v>202</v>
      </c>
    </row>
    <row r="17" spans="1:16" ht="12.75" customHeight="1">
      <c r="A17" s="7">
        <v>268234</v>
      </c>
      <c r="B17">
        <v>0</v>
      </c>
      <c r="C17" s="7" t="s">
        <v>51</v>
      </c>
      <c r="D17" s="7" t="s">
        <v>32</v>
      </c>
      <c r="E17" s="7" t="s">
        <v>33</v>
      </c>
      <c r="F17" s="8">
        <v>1.5</v>
      </c>
      <c r="G17" s="9">
        <v>40527</v>
      </c>
      <c r="H17" s="7" t="s">
        <v>37</v>
      </c>
      <c r="J17" s="5" t="s">
        <v>52</v>
      </c>
      <c r="K17">
        <f>COUNTIF(H2:H216,"FRIDAY")</f>
        <v>26</v>
      </c>
      <c r="L17">
        <f>SUMIF(H2:H216, "FRIDAY", F2:F216)</f>
        <v>118</v>
      </c>
    </row>
    <row r="18" spans="1:16" ht="12.75" customHeight="1">
      <c r="A18" s="7">
        <v>537900</v>
      </c>
      <c r="B18">
        <v>0</v>
      </c>
      <c r="C18" s="7" t="s">
        <v>53</v>
      </c>
      <c r="D18" s="7" t="s">
        <v>32</v>
      </c>
      <c r="E18" s="7" t="s">
        <v>33</v>
      </c>
      <c r="F18" s="8">
        <v>2</v>
      </c>
      <c r="G18" s="9">
        <v>40527</v>
      </c>
      <c r="H18" s="7" t="s">
        <v>37</v>
      </c>
      <c r="J18" s="7"/>
    </row>
    <row r="19" spans="1:16" ht="12.75" customHeight="1">
      <c r="A19" s="7">
        <v>935382</v>
      </c>
      <c r="B19">
        <v>0</v>
      </c>
      <c r="C19" s="7" t="s">
        <v>54</v>
      </c>
      <c r="D19" s="7" t="s">
        <v>32</v>
      </c>
      <c r="E19" s="7" t="s">
        <v>33</v>
      </c>
      <c r="F19" s="8">
        <v>3.5</v>
      </c>
      <c r="G19" s="9">
        <v>40527</v>
      </c>
      <c r="H19" s="7" t="s">
        <v>37</v>
      </c>
    </row>
    <row r="20" spans="1:16" ht="12.75" customHeight="1">
      <c r="A20" s="7">
        <v>602526</v>
      </c>
      <c r="B20">
        <v>0</v>
      </c>
      <c r="C20" s="7" t="s">
        <v>55</v>
      </c>
      <c r="D20" s="7" t="s">
        <v>32</v>
      </c>
      <c r="E20" s="7" t="s">
        <v>33</v>
      </c>
      <c r="F20" s="8">
        <v>2</v>
      </c>
      <c r="G20" s="9">
        <v>40527</v>
      </c>
      <c r="H20" s="7" t="s">
        <v>37</v>
      </c>
      <c r="J20" s="10" t="s">
        <v>56</v>
      </c>
      <c r="K20" s="10"/>
    </row>
    <row r="21" spans="1:16" ht="12.75" customHeight="1">
      <c r="A21" s="7">
        <v>624084</v>
      </c>
      <c r="B21">
        <v>0</v>
      </c>
      <c r="C21" s="7" t="s">
        <v>57</v>
      </c>
      <c r="D21" s="7" t="s">
        <v>32</v>
      </c>
      <c r="E21" s="7" t="s">
        <v>33</v>
      </c>
      <c r="F21" s="8">
        <v>1.25</v>
      </c>
      <c r="G21" s="9">
        <v>40528</v>
      </c>
      <c r="H21" s="7" t="s">
        <v>34</v>
      </c>
    </row>
    <row r="22" spans="1:16" ht="12.75" customHeight="1">
      <c r="A22" s="7">
        <v>341458</v>
      </c>
      <c r="B22">
        <v>0</v>
      </c>
      <c r="C22" s="7" t="s">
        <v>58</v>
      </c>
      <c r="D22" s="7" t="s">
        <v>42</v>
      </c>
      <c r="E22" s="7" t="s">
        <v>33</v>
      </c>
      <c r="F22" s="8">
        <v>8</v>
      </c>
      <c r="G22" s="9">
        <v>40528</v>
      </c>
      <c r="H22" s="7" t="s">
        <v>34</v>
      </c>
      <c r="K22" s="5" t="s">
        <v>59</v>
      </c>
    </row>
    <row r="23" spans="1:16" ht="12.75" customHeight="1">
      <c r="A23" s="7">
        <v>674630</v>
      </c>
      <c r="B23">
        <v>0</v>
      </c>
      <c r="C23" s="7" t="s">
        <v>60</v>
      </c>
      <c r="D23" s="7" t="s">
        <v>32</v>
      </c>
      <c r="E23" s="7" t="s">
        <v>33</v>
      </c>
      <c r="F23" s="8">
        <v>2.75</v>
      </c>
      <c r="G23" s="9">
        <v>40528</v>
      </c>
      <c r="H23" s="7" t="s">
        <v>34</v>
      </c>
      <c r="K23" s="11" t="s">
        <v>48</v>
      </c>
      <c r="L23" s="11" t="s">
        <v>49</v>
      </c>
      <c r="M23" s="11" t="s">
        <v>37</v>
      </c>
      <c r="N23" s="11" t="s">
        <v>34</v>
      </c>
      <c r="O23" s="11" t="s">
        <v>52</v>
      </c>
      <c r="P23" s="12" t="s">
        <v>61</v>
      </c>
    </row>
    <row r="24" spans="1:16" ht="12.75" customHeight="1">
      <c r="A24" s="7">
        <v>674630</v>
      </c>
      <c r="B24">
        <v>0</v>
      </c>
      <c r="C24" s="7" t="s">
        <v>60</v>
      </c>
      <c r="D24" s="7" t="s">
        <v>38</v>
      </c>
      <c r="E24" s="7" t="s">
        <v>33</v>
      </c>
      <c r="F24" s="8">
        <v>1</v>
      </c>
      <c r="G24" s="9">
        <v>40528</v>
      </c>
      <c r="H24" s="7" t="s">
        <v>34</v>
      </c>
      <c r="J24" s="12" t="s">
        <v>32</v>
      </c>
      <c r="K24">
        <f>COUNTIFS(D2:D216, "SP", H2:H216, "=MONDAY")</f>
        <v>15</v>
      </c>
      <c r="L24">
        <f>COUNTIFS(D2:D216, "SP", H2:H216, "=TUESDAY")</f>
        <v>16</v>
      </c>
      <c r="M24">
        <f>COUNTIFS(D2:D216, "SP", H2:H216, "=WEDNESDAY")</f>
        <v>23</v>
      </c>
      <c r="N24">
        <f>COUNTIFS(D2:D216, "SP", H2:H216, "=THURSDAY")</f>
        <v>20</v>
      </c>
      <c r="O24">
        <f>COUNTIFS(D2:D216, "SP", H2:H216, "=FRIDAY")</f>
        <v>14</v>
      </c>
      <c r="P24" s="13">
        <f>SUM(K24:O24)</f>
        <v>88</v>
      </c>
    </row>
    <row r="25" spans="1:16" ht="12.75" customHeight="1">
      <c r="A25" s="7">
        <v>752850</v>
      </c>
      <c r="B25">
        <v>0</v>
      </c>
      <c r="C25" s="7" t="s">
        <v>62</v>
      </c>
      <c r="D25" s="7" t="s">
        <v>38</v>
      </c>
      <c r="E25" s="7" t="s">
        <v>33</v>
      </c>
      <c r="F25" s="8">
        <v>1.25</v>
      </c>
      <c r="G25" s="9">
        <v>40527</v>
      </c>
      <c r="H25" s="7" t="s">
        <v>37</v>
      </c>
      <c r="J25" s="12" t="s">
        <v>36</v>
      </c>
      <c r="K25">
        <f>COUNTIFS(D2:D216, "SFFNR", H2:H216, "=MONDAY")</f>
        <v>1</v>
      </c>
      <c r="L25">
        <f>COUNTIFS(D2:D216, "SFFNR", H2:H216, "=TUESDAY")</f>
        <v>1</v>
      </c>
      <c r="M25">
        <f>COUNTIFS(D2:D216, "SFFNR", H2:H216, "=WEDNESDAY")</f>
        <v>3</v>
      </c>
      <c r="N25">
        <f>COUNTIFS(D2:D216, "SFFNR", H2:H216, "=THURSDAY")</f>
        <v>1</v>
      </c>
      <c r="O25">
        <f>COUNTIFS(D2:D216, "SFFNR", H2:H216, "=Friday")</f>
        <v>0</v>
      </c>
      <c r="P25" s="14">
        <f>SUM(K25:O25)</f>
        <v>6</v>
      </c>
    </row>
    <row r="26" spans="1:16" ht="12.75" customHeight="1">
      <c r="A26" s="7">
        <v>951321</v>
      </c>
      <c r="B26">
        <v>1</v>
      </c>
      <c r="C26" s="7" t="s">
        <v>63</v>
      </c>
      <c r="D26" s="7" t="s">
        <v>32</v>
      </c>
      <c r="E26" s="7" t="s">
        <v>33</v>
      </c>
      <c r="F26" s="8">
        <v>8.75</v>
      </c>
      <c r="G26" s="9">
        <v>40529</v>
      </c>
      <c r="H26" s="7" t="s">
        <v>52</v>
      </c>
      <c r="J26" s="12" t="s">
        <v>38</v>
      </c>
      <c r="K26">
        <f>COUNTIFS(D2:D216, "SFAM", H2:H216, "=MONDAY")</f>
        <v>3</v>
      </c>
      <c r="L26">
        <f>COUNTIFS(D2:D216, "SFAM", H2:H216, "=TUESDAY")</f>
        <v>6</v>
      </c>
      <c r="M26">
        <f>COUNTIFS(D2:D216, "SFAM", H2:H216, "=WEDNESDAY")</f>
        <v>6</v>
      </c>
      <c r="N26">
        <f>COUNTIFS(D2:D216, "SFAM", H2:H216, "=THURSDAY")</f>
        <v>3</v>
      </c>
      <c r="O26">
        <f>COUNTIFS(D2:D216, "SFAM", H2:H216, "=Friday")</f>
        <v>3</v>
      </c>
      <c r="P26" s="14">
        <f>SUM(K26:O26)</f>
        <v>21</v>
      </c>
    </row>
    <row r="27" spans="1:16" ht="12.75" customHeight="1">
      <c r="A27" s="7">
        <v>311587</v>
      </c>
      <c r="B27">
        <v>0</v>
      </c>
      <c r="C27" s="7" t="s">
        <v>31</v>
      </c>
      <c r="D27" s="7" t="s">
        <v>40</v>
      </c>
      <c r="E27" s="7" t="s">
        <v>33</v>
      </c>
      <c r="F27" s="8">
        <v>4</v>
      </c>
      <c r="G27" s="9">
        <v>40529</v>
      </c>
      <c r="H27" s="7" t="s">
        <v>52</v>
      </c>
      <c r="J27" s="12" t="s">
        <v>40</v>
      </c>
      <c r="K27">
        <f>COUNTIFS(D2:D216, "SFNRL", H2:H216, "=MONDAY")</f>
        <v>2</v>
      </c>
      <c r="L27">
        <f>COUNTIFS(D2:D216, "SFNRL", H2:H216, "=TUESDAY")</f>
        <v>1</v>
      </c>
      <c r="M27">
        <f>COUNTIFS(D2:D216, "SFNRL", H2:H216, "=WEDNESDAY")</f>
        <v>1</v>
      </c>
      <c r="N27">
        <f>COUNTIFS(D2:D216, "SFNRL", H2:H216, "=THURSDAy")</f>
        <v>2</v>
      </c>
      <c r="O27">
        <f>COUNTIFS(D2:D216, "SFNRL", H2:H216, "=FRIDAY")</f>
        <v>3</v>
      </c>
      <c r="P27" s="14">
        <f>SUM(K27:O27)</f>
        <v>9</v>
      </c>
    </row>
    <row r="28" spans="1:16" ht="12.75" customHeight="1">
      <c r="A28" s="7">
        <v>140990</v>
      </c>
      <c r="B28">
        <v>0</v>
      </c>
      <c r="C28" s="7" t="s">
        <v>64</v>
      </c>
      <c r="D28" s="7" t="s">
        <v>32</v>
      </c>
      <c r="E28" s="7" t="s">
        <v>33</v>
      </c>
      <c r="F28" s="8">
        <v>2</v>
      </c>
      <c r="G28" s="9">
        <v>40540</v>
      </c>
      <c r="H28" s="7" t="s">
        <v>49</v>
      </c>
      <c r="J28" s="12" t="s">
        <v>42</v>
      </c>
      <c r="K28">
        <f>COUNTIFS(D2:D216, "SICK", H2:H216, "=MONDAY")</f>
        <v>8</v>
      </c>
      <c r="L28">
        <f>COUNTIFS(D2:D216, "SICK", H2:H216, "=TUESDAY")</f>
        <v>26</v>
      </c>
      <c r="M28">
        <f>COUNTIFS(D2:D216, "SICK", H2:H216, "=WEDNESDAY")</f>
        <v>27</v>
      </c>
      <c r="N28">
        <f>COUNTIFS(D2:D216, "SICK", H2:H216, "=THURSDAY")</f>
        <v>22</v>
      </c>
      <c r="O28">
        <f>COUNTIFS(D2:D216, "SICK", H2:H216, "=FRIDAY")</f>
        <v>6</v>
      </c>
      <c r="P28" s="14">
        <f>SUM(K28:O28)</f>
        <v>89</v>
      </c>
    </row>
    <row r="29" spans="1:16" ht="12.75" customHeight="1">
      <c r="A29" s="7">
        <v>883669</v>
      </c>
      <c r="B29">
        <v>0</v>
      </c>
      <c r="C29" s="7" t="s">
        <v>65</v>
      </c>
      <c r="D29" s="7" t="s">
        <v>42</v>
      </c>
      <c r="E29" s="7" t="s">
        <v>33</v>
      </c>
      <c r="F29" s="8">
        <v>4.75</v>
      </c>
      <c r="G29" s="9">
        <v>40534</v>
      </c>
      <c r="H29" s="7" t="s">
        <v>37</v>
      </c>
      <c r="J29" s="11" t="s">
        <v>61</v>
      </c>
      <c r="K29" s="15">
        <f t="shared" ref="K29:P29" si="0">SUM(K24:K28)</f>
        <v>29</v>
      </c>
      <c r="L29" s="16">
        <f t="shared" si="0"/>
        <v>50</v>
      </c>
      <c r="M29" s="16">
        <f t="shared" si="0"/>
        <v>60</v>
      </c>
      <c r="N29" s="16">
        <f t="shared" si="0"/>
        <v>48</v>
      </c>
      <c r="O29" s="16">
        <f t="shared" si="0"/>
        <v>26</v>
      </c>
      <c r="P29" s="17">
        <f t="shared" si="0"/>
        <v>213</v>
      </c>
    </row>
    <row r="30" spans="1:16" ht="12.75" customHeight="1">
      <c r="A30" s="7">
        <v>733760</v>
      </c>
      <c r="B30">
        <v>0</v>
      </c>
      <c r="C30" s="7" t="s">
        <v>66</v>
      </c>
      <c r="D30" s="7" t="s">
        <v>32</v>
      </c>
      <c r="E30" s="7" t="s">
        <v>33</v>
      </c>
      <c r="F30" s="8">
        <v>3.5</v>
      </c>
      <c r="G30" s="9">
        <v>40532</v>
      </c>
      <c r="H30" s="7" t="s">
        <v>48</v>
      </c>
    </row>
    <row r="31" spans="1:16" ht="12.75" customHeight="1">
      <c r="A31" s="7">
        <v>474941</v>
      </c>
      <c r="B31">
        <v>0</v>
      </c>
      <c r="C31" s="7" t="s">
        <v>67</v>
      </c>
      <c r="D31" s="7" t="s">
        <v>32</v>
      </c>
      <c r="E31" s="7" t="s">
        <v>33</v>
      </c>
      <c r="F31" s="8">
        <v>2.5</v>
      </c>
      <c r="G31" s="9">
        <v>40534</v>
      </c>
      <c r="H31" s="7" t="s">
        <v>37</v>
      </c>
    </row>
    <row r="32" spans="1:16" ht="12.75" customHeight="1">
      <c r="A32" s="7">
        <v>474941</v>
      </c>
      <c r="B32">
        <v>0</v>
      </c>
      <c r="C32" s="7" t="s">
        <v>67</v>
      </c>
      <c r="D32" s="7" t="s">
        <v>32</v>
      </c>
      <c r="E32" s="7" t="s">
        <v>33</v>
      </c>
      <c r="F32" s="8">
        <v>1.5</v>
      </c>
      <c r="G32" s="9">
        <v>40540</v>
      </c>
      <c r="H32" s="7" t="s">
        <v>49</v>
      </c>
    </row>
    <row r="33" spans="1:16" ht="12.75" customHeight="1">
      <c r="A33" s="7">
        <v>615307</v>
      </c>
      <c r="B33">
        <v>0</v>
      </c>
      <c r="C33" s="7" t="s">
        <v>68</v>
      </c>
      <c r="D33" s="7" t="s">
        <v>32</v>
      </c>
      <c r="E33" s="7" t="s">
        <v>33</v>
      </c>
      <c r="F33" s="8">
        <v>4</v>
      </c>
      <c r="G33" s="9">
        <v>40529</v>
      </c>
      <c r="H33" s="7" t="s">
        <v>52</v>
      </c>
      <c r="J33" s="10" t="s">
        <v>69</v>
      </c>
      <c r="K33" s="10"/>
    </row>
    <row r="34" spans="1:16" ht="12.75" customHeight="1">
      <c r="A34" s="7">
        <v>144775</v>
      </c>
      <c r="B34">
        <v>0</v>
      </c>
      <c r="C34" s="7" t="s">
        <v>70</v>
      </c>
      <c r="D34" s="7" t="s">
        <v>32</v>
      </c>
      <c r="E34" s="7" t="s">
        <v>33</v>
      </c>
      <c r="F34" s="8">
        <v>2</v>
      </c>
      <c r="G34" s="9">
        <v>40540</v>
      </c>
      <c r="H34" s="7" t="s">
        <v>49</v>
      </c>
    </row>
    <row r="35" spans="1:16" ht="12.75" customHeight="1">
      <c r="A35" s="7">
        <v>54857</v>
      </c>
      <c r="B35">
        <v>0</v>
      </c>
      <c r="C35" s="7" t="s">
        <v>71</v>
      </c>
      <c r="D35" s="7" t="s">
        <v>32</v>
      </c>
      <c r="E35" s="7" t="s">
        <v>33</v>
      </c>
      <c r="F35" s="8">
        <v>1</v>
      </c>
      <c r="G35" s="9">
        <v>40533</v>
      </c>
      <c r="H35" s="7" t="s">
        <v>49</v>
      </c>
      <c r="K35" s="5" t="s">
        <v>72</v>
      </c>
    </row>
    <row r="36" spans="1:16" ht="12.75" customHeight="1">
      <c r="A36" s="7">
        <v>969490</v>
      </c>
      <c r="B36">
        <v>0</v>
      </c>
      <c r="C36" s="7" t="s">
        <v>73</v>
      </c>
      <c r="D36" s="7" t="s">
        <v>38</v>
      </c>
      <c r="E36" s="7" t="s">
        <v>33</v>
      </c>
      <c r="F36" s="8">
        <v>3</v>
      </c>
      <c r="G36" s="9">
        <v>40533</v>
      </c>
      <c r="H36" s="7" t="s">
        <v>49</v>
      </c>
      <c r="K36" s="11" t="s">
        <v>48</v>
      </c>
      <c r="L36" s="11" t="s">
        <v>49</v>
      </c>
      <c r="M36" s="11" t="s">
        <v>37</v>
      </c>
      <c r="N36" s="11" t="s">
        <v>34</v>
      </c>
      <c r="O36" s="11" t="s">
        <v>52</v>
      </c>
      <c r="P36" s="12" t="s">
        <v>61</v>
      </c>
    </row>
    <row r="37" spans="1:16" ht="12.75" customHeight="1">
      <c r="A37" s="7">
        <v>969490</v>
      </c>
      <c r="B37">
        <v>0</v>
      </c>
      <c r="C37" s="7" t="s">
        <v>73</v>
      </c>
      <c r="D37" s="7" t="s">
        <v>42</v>
      </c>
      <c r="E37" s="7" t="s">
        <v>33</v>
      </c>
      <c r="F37" s="8">
        <v>8</v>
      </c>
      <c r="G37" s="9">
        <v>40534</v>
      </c>
      <c r="H37" s="7" t="s">
        <v>37</v>
      </c>
      <c r="J37" s="12" t="s">
        <v>32</v>
      </c>
      <c r="K37">
        <f>SUMIFS(F2:F216, D2:D216, "SP", H2:H216, "MONDAY")</f>
        <v>33.75</v>
      </c>
      <c r="L37">
        <f>SUMIFS(F2:F216, D2:D216, "SP", H2:H216, "TUESDAY")</f>
        <v>43.5</v>
      </c>
      <c r="M37">
        <f>SUMIFS(F2:F216, D2:D216, "SP", H2:H216, "WEDNESDAY")</f>
        <v>65.5</v>
      </c>
      <c r="N37">
        <f>SUMIFS(F2:F216, D2:D216, "SP", H2:H216, "THURSDAY")</f>
        <v>36.25</v>
      </c>
      <c r="O37">
        <f>SUMIFS(F2:F216, D2:D216, "SP", H2:H216, "FRIDAY")</f>
        <v>42.25</v>
      </c>
      <c r="P37" s="13">
        <f>SUM(K37:O37)</f>
        <v>221.25</v>
      </c>
    </row>
    <row r="38" spans="1:16" ht="12.75" customHeight="1">
      <c r="A38" s="7">
        <v>579919</v>
      </c>
      <c r="B38">
        <v>0</v>
      </c>
      <c r="C38" s="7" t="s">
        <v>74</v>
      </c>
      <c r="D38" s="7" t="s">
        <v>42</v>
      </c>
      <c r="E38" s="7" t="s">
        <v>33</v>
      </c>
      <c r="F38" s="8">
        <v>2</v>
      </c>
      <c r="G38" s="9">
        <v>40534</v>
      </c>
      <c r="H38" s="7" t="s">
        <v>37</v>
      </c>
      <c r="J38" s="12" t="s">
        <v>36</v>
      </c>
      <c r="K38">
        <f>SUMIFS(F2:F216, D2:D216, "SFFNR", H2:H216, "Monday")</f>
        <v>8</v>
      </c>
      <c r="L38">
        <f>SUMIFS(F2:F216, D2:D216, "SFFNR", H2:H216, "TUESDAY")</f>
        <v>8</v>
      </c>
      <c r="M38">
        <f>SUMIFS(F2:F216, D2:D216, "SFFNR", H2:H216, "WEDNESDAY")</f>
        <v>24</v>
      </c>
      <c r="N38">
        <f>SUMIFS(F2:F216, D2:D216, "SFFNR", H2:H216, "THURSDAY")</f>
        <v>8</v>
      </c>
      <c r="O38">
        <f>SUMIFS(F2:F216, D2:D216, "SFFNR", H2:H216, "FRIDAY")</f>
        <v>0</v>
      </c>
      <c r="P38" s="14">
        <f>SUM(K38:O38)</f>
        <v>48</v>
      </c>
    </row>
    <row r="39" spans="1:16" ht="12.75" customHeight="1">
      <c r="A39" s="7">
        <v>599675</v>
      </c>
      <c r="B39">
        <v>0</v>
      </c>
      <c r="C39" s="7" t="s">
        <v>75</v>
      </c>
      <c r="D39" s="7" t="s">
        <v>32</v>
      </c>
      <c r="E39" s="7" t="s">
        <v>33</v>
      </c>
      <c r="F39" s="8">
        <v>2</v>
      </c>
      <c r="G39" s="9">
        <v>40534</v>
      </c>
      <c r="H39" s="7" t="s">
        <v>37</v>
      </c>
      <c r="J39" s="12" t="s">
        <v>38</v>
      </c>
      <c r="K39">
        <f>SUMIFS(F2:F216, D2:D216, "SFAM", H2:H216, "MONDAY")</f>
        <v>19.25</v>
      </c>
      <c r="L39">
        <f>SUMIFS(F2:F216, D2:D216, "SFAM", H2:H216, "TUESDAY")</f>
        <v>20</v>
      </c>
      <c r="M39">
        <f>SUMIFS(F2:F216, D2:D216, "SFAM", H2:H216, "WEDNESDAY")</f>
        <v>14.75</v>
      </c>
      <c r="N39">
        <f>SUMIFS(F2:F216, D2:D216, "SFAM", H2:H216, "THURSDAY")</f>
        <v>5</v>
      </c>
      <c r="O39">
        <f>SUMIFS(F2:F216, D2:D216, "SFAM", H2:H216, "FRIDAY")</f>
        <v>22</v>
      </c>
      <c r="P39" s="14">
        <f>SUM(K39:O39)</f>
        <v>81</v>
      </c>
    </row>
    <row r="40" spans="1:16" ht="12.75" customHeight="1">
      <c r="A40" s="7">
        <v>625135</v>
      </c>
      <c r="B40">
        <v>0</v>
      </c>
      <c r="C40" s="7" t="s">
        <v>76</v>
      </c>
      <c r="D40" s="7" t="s">
        <v>32</v>
      </c>
      <c r="E40" s="7" t="s">
        <v>33</v>
      </c>
      <c r="F40" s="8">
        <v>1</v>
      </c>
      <c r="G40" s="9">
        <v>40540</v>
      </c>
      <c r="H40" s="7" t="s">
        <v>49</v>
      </c>
      <c r="J40" s="12" t="s">
        <v>40</v>
      </c>
      <c r="K40">
        <f>SUMIFS(F2:F216, D2:D216, "SFNRL", H2:H216, "MONDAY")</f>
        <v>7</v>
      </c>
      <c r="L40">
        <f>SUMIFS(F2:F216, D2:D216, "SFNRL", H2:H216, "TUESDAY")</f>
        <v>8</v>
      </c>
      <c r="M40">
        <f>SUMIFS(F2:F216, D2:D216, "SFNRL", H2:H216, "WEDNESDAY")</f>
        <v>2</v>
      </c>
      <c r="N40">
        <f>SUMIFS(F2:F216, D2:D216, "SFNRL", H2:H216, "THURSDAY")</f>
        <v>10</v>
      </c>
      <c r="O40">
        <f>SUMIFS(F2:F216, D2:D216, "SFNRL", H2:H216, "FRIDAY")</f>
        <v>12</v>
      </c>
      <c r="P40" s="14">
        <f>SUM(K40:O40)</f>
        <v>39</v>
      </c>
    </row>
    <row r="41" spans="1:16" ht="12.75" customHeight="1">
      <c r="A41" s="7">
        <v>664825</v>
      </c>
      <c r="B41">
        <v>0</v>
      </c>
      <c r="C41" s="7" t="s">
        <v>77</v>
      </c>
      <c r="D41" s="7" t="s">
        <v>42</v>
      </c>
      <c r="E41" s="7" t="s">
        <v>33</v>
      </c>
      <c r="F41" s="8">
        <v>8</v>
      </c>
      <c r="G41" s="9">
        <v>40542</v>
      </c>
      <c r="H41" s="7" t="s">
        <v>34</v>
      </c>
      <c r="J41" s="12" t="s">
        <v>42</v>
      </c>
      <c r="K41">
        <f>SUMIFS(F2:F216, D2:D216, "SICK", H2:H216, "MONDAY")</f>
        <v>43.5</v>
      </c>
      <c r="L41">
        <f>SUMIFS(F2:F216, D2:D216, "SICK", H2:H216, "TUESDAY")</f>
        <v>146.25</v>
      </c>
      <c r="M41">
        <f>SUMIFS(F2:F216, D2:D216, "SICK", H2:H216, "WEDNESDAY")</f>
        <v>153.75</v>
      </c>
      <c r="N41">
        <f>SUMIFS(F2:F216, D2:D216, "SICK", H2:H216, "THURSDAY")</f>
        <v>142.75</v>
      </c>
      <c r="O41">
        <f>SUMIFS(F2:F216, D2:D216, "SICK", H2:H216, "FRIDAY")</f>
        <v>41.75</v>
      </c>
      <c r="P41" s="14">
        <f>SUM(K41:O41)</f>
        <v>528</v>
      </c>
    </row>
    <row r="42" spans="1:16" ht="12.75" customHeight="1">
      <c r="A42" s="7">
        <v>664825</v>
      </c>
      <c r="B42">
        <v>0</v>
      </c>
      <c r="C42" s="7" t="s">
        <v>77</v>
      </c>
      <c r="D42" s="7" t="s">
        <v>42</v>
      </c>
      <c r="E42" s="7" t="s">
        <v>33</v>
      </c>
      <c r="F42" s="8">
        <v>6</v>
      </c>
      <c r="G42" s="9">
        <v>40541</v>
      </c>
      <c r="H42" s="7" t="s">
        <v>37</v>
      </c>
      <c r="J42" s="11" t="s">
        <v>61</v>
      </c>
      <c r="K42" s="15">
        <f t="shared" ref="K42:P42" si="1">SUM(K37:K41)</f>
        <v>111.5</v>
      </c>
      <c r="L42" s="16">
        <f t="shared" si="1"/>
        <v>225.75</v>
      </c>
      <c r="M42" s="16">
        <f t="shared" si="1"/>
        <v>260</v>
      </c>
      <c r="N42" s="16">
        <f t="shared" si="1"/>
        <v>202</v>
      </c>
      <c r="O42" s="16">
        <f t="shared" si="1"/>
        <v>118</v>
      </c>
      <c r="P42" s="17">
        <f t="shared" si="1"/>
        <v>917.25</v>
      </c>
    </row>
    <row r="43" spans="1:16" ht="12.75" customHeight="1">
      <c r="A43" s="7">
        <v>459949</v>
      </c>
      <c r="B43">
        <v>0</v>
      </c>
      <c r="C43" s="7" t="s">
        <v>78</v>
      </c>
      <c r="D43" s="7" t="s">
        <v>32</v>
      </c>
      <c r="E43" s="7" t="s">
        <v>33</v>
      </c>
      <c r="F43" s="8">
        <v>2</v>
      </c>
      <c r="G43" s="9">
        <v>40529</v>
      </c>
      <c r="H43" s="7" t="s">
        <v>52</v>
      </c>
    </row>
    <row r="44" spans="1:16" ht="12.75" customHeight="1">
      <c r="A44" s="7">
        <v>375792</v>
      </c>
      <c r="B44">
        <v>0</v>
      </c>
      <c r="C44" s="7" t="s">
        <v>79</v>
      </c>
      <c r="D44" s="7" t="s">
        <v>40</v>
      </c>
      <c r="E44" s="7" t="s">
        <v>33</v>
      </c>
      <c r="F44" s="8">
        <v>4</v>
      </c>
      <c r="G44" s="9">
        <v>40532</v>
      </c>
      <c r="H44" s="7" t="s">
        <v>48</v>
      </c>
    </row>
    <row r="45" spans="1:16" ht="12.75" customHeight="1">
      <c r="A45" s="7">
        <v>459949</v>
      </c>
      <c r="B45">
        <v>0</v>
      </c>
      <c r="C45" s="7" t="s">
        <v>78</v>
      </c>
      <c r="D45" s="7" t="s">
        <v>38</v>
      </c>
      <c r="E45" s="7" t="s">
        <v>33</v>
      </c>
      <c r="F45" s="8">
        <v>8</v>
      </c>
      <c r="G45" s="9">
        <v>40546</v>
      </c>
      <c r="H45" s="7" t="s">
        <v>48</v>
      </c>
    </row>
    <row r="46" spans="1:16" ht="12.75" customHeight="1">
      <c r="A46" s="7">
        <v>459949</v>
      </c>
      <c r="B46">
        <v>0</v>
      </c>
      <c r="C46" s="7" t="s">
        <v>78</v>
      </c>
      <c r="D46" s="7" t="s">
        <v>38</v>
      </c>
      <c r="E46" s="7" t="s">
        <v>33</v>
      </c>
      <c r="F46" s="8">
        <v>4</v>
      </c>
      <c r="G46" s="9">
        <v>40547</v>
      </c>
      <c r="H46" s="7" t="s">
        <v>49</v>
      </c>
    </row>
    <row r="47" spans="1:16" ht="12.75" customHeight="1">
      <c r="A47" s="7">
        <v>869277</v>
      </c>
      <c r="B47">
        <v>0</v>
      </c>
      <c r="C47" s="7" t="s">
        <v>80</v>
      </c>
      <c r="D47" s="7" t="s">
        <v>42</v>
      </c>
      <c r="E47" s="7" t="s">
        <v>33</v>
      </c>
      <c r="F47" s="8">
        <v>8</v>
      </c>
      <c r="G47" s="9">
        <v>40541</v>
      </c>
      <c r="H47" s="7" t="s">
        <v>37</v>
      </c>
    </row>
    <row r="48" spans="1:16" ht="12.75" customHeight="1">
      <c r="A48" s="7">
        <v>389844</v>
      </c>
      <c r="B48">
        <v>0</v>
      </c>
      <c r="C48" s="7" t="s">
        <v>81</v>
      </c>
      <c r="D48" s="7" t="s">
        <v>42</v>
      </c>
      <c r="E48" s="7" t="s">
        <v>33</v>
      </c>
      <c r="F48" s="8">
        <v>2</v>
      </c>
      <c r="G48" s="9">
        <v>40534</v>
      </c>
      <c r="H48" s="7" t="s">
        <v>37</v>
      </c>
    </row>
    <row r="49" spans="1:8" ht="12.75" customHeight="1">
      <c r="A49" s="7">
        <v>389844</v>
      </c>
      <c r="B49">
        <v>0</v>
      </c>
      <c r="C49" s="7" t="s">
        <v>81</v>
      </c>
      <c r="D49" s="7" t="s">
        <v>42</v>
      </c>
      <c r="E49" s="7" t="s">
        <v>33</v>
      </c>
      <c r="F49" s="8">
        <v>8</v>
      </c>
      <c r="G49" s="9">
        <v>40535</v>
      </c>
      <c r="H49" s="7" t="s">
        <v>34</v>
      </c>
    </row>
    <row r="50" spans="1:8" ht="12.75" customHeight="1">
      <c r="A50" s="7">
        <v>873164</v>
      </c>
      <c r="B50">
        <v>0</v>
      </c>
      <c r="C50" s="7" t="s">
        <v>82</v>
      </c>
      <c r="D50" s="7" t="s">
        <v>42</v>
      </c>
      <c r="E50" s="7" t="s">
        <v>33</v>
      </c>
      <c r="F50" s="8">
        <v>3</v>
      </c>
      <c r="G50" s="9">
        <v>40540</v>
      </c>
      <c r="H50" s="7" t="s">
        <v>49</v>
      </c>
    </row>
    <row r="51" spans="1:8" ht="12.75" customHeight="1">
      <c r="A51" s="7">
        <v>935382</v>
      </c>
      <c r="B51">
        <v>0</v>
      </c>
      <c r="C51" s="7" t="s">
        <v>54</v>
      </c>
      <c r="D51" s="7" t="s">
        <v>42</v>
      </c>
      <c r="E51" s="7" t="s">
        <v>33</v>
      </c>
      <c r="F51" s="8">
        <v>8</v>
      </c>
      <c r="G51" s="9">
        <v>40542</v>
      </c>
      <c r="H51" s="7" t="s">
        <v>34</v>
      </c>
    </row>
    <row r="52" spans="1:8" ht="12.75" customHeight="1">
      <c r="A52" s="7">
        <v>935382</v>
      </c>
      <c r="B52">
        <v>0</v>
      </c>
      <c r="C52" s="7" t="s">
        <v>54</v>
      </c>
      <c r="D52" s="7" t="s">
        <v>42</v>
      </c>
      <c r="E52" s="7" t="s">
        <v>33</v>
      </c>
      <c r="F52" s="8">
        <v>8</v>
      </c>
      <c r="G52" s="9">
        <v>40541</v>
      </c>
      <c r="H52" s="7" t="s">
        <v>37</v>
      </c>
    </row>
    <row r="53" spans="1:8" ht="12.75" customHeight="1">
      <c r="A53" s="7">
        <v>555166</v>
      </c>
      <c r="B53">
        <v>0</v>
      </c>
      <c r="C53" s="7" t="s">
        <v>83</v>
      </c>
      <c r="D53" s="7" t="s">
        <v>42</v>
      </c>
      <c r="E53" s="7" t="s">
        <v>33</v>
      </c>
      <c r="F53" s="8">
        <v>8</v>
      </c>
      <c r="G53" s="9">
        <v>40534</v>
      </c>
      <c r="H53" s="7" t="s">
        <v>37</v>
      </c>
    </row>
    <row r="54" spans="1:8" ht="12.75" customHeight="1">
      <c r="A54" s="7">
        <v>555166</v>
      </c>
      <c r="B54">
        <v>0</v>
      </c>
      <c r="C54" s="7" t="s">
        <v>83</v>
      </c>
      <c r="D54" s="7" t="s">
        <v>42</v>
      </c>
      <c r="E54" s="7" t="s">
        <v>33</v>
      </c>
      <c r="F54" s="8">
        <v>6.25</v>
      </c>
      <c r="G54" s="9">
        <v>40533</v>
      </c>
      <c r="H54" s="7" t="s">
        <v>49</v>
      </c>
    </row>
    <row r="55" spans="1:8" ht="12.75" customHeight="1">
      <c r="A55" s="7">
        <v>555166</v>
      </c>
      <c r="B55">
        <v>0</v>
      </c>
      <c r="C55" s="7" t="s">
        <v>83</v>
      </c>
      <c r="D55" s="7" t="s">
        <v>40</v>
      </c>
      <c r="E55" s="7" t="s">
        <v>33</v>
      </c>
      <c r="F55" s="8">
        <v>4</v>
      </c>
      <c r="G55" s="9">
        <v>40529</v>
      </c>
      <c r="H55" s="7" t="s">
        <v>52</v>
      </c>
    </row>
    <row r="56" spans="1:8" ht="12.75" customHeight="1">
      <c r="A56" s="7">
        <v>503495</v>
      </c>
      <c r="B56">
        <v>0</v>
      </c>
      <c r="C56" s="7" t="s">
        <v>84</v>
      </c>
      <c r="D56" s="7" t="s">
        <v>32</v>
      </c>
      <c r="E56" s="7" t="s">
        <v>33</v>
      </c>
      <c r="F56" s="8">
        <v>2</v>
      </c>
      <c r="G56" s="9">
        <v>40532</v>
      </c>
      <c r="H56" s="7" t="s">
        <v>48</v>
      </c>
    </row>
    <row r="57" spans="1:8" ht="12.75" customHeight="1">
      <c r="A57" s="7">
        <v>503495</v>
      </c>
      <c r="B57">
        <v>0</v>
      </c>
      <c r="C57" s="7" t="s">
        <v>84</v>
      </c>
      <c r="D57" s="7" t="s">
        <v>32</v>
      </c>
      <c r="E57" s="7" t="s">
        <v>33</v>
      </c>
      <c r="F57" s="8">
        <v>8</v>
      </c>
      <c r="G57" s="9">
        <v>40534</v>
      </c>
      <c r="H57" s="7" t="s">
        <v>37</v>
      </c>
    </row>
    <row r="58" spans="1:8" ht="12.75" customHeight="1">
      <c r="A58" s="7">
        <v>935382</v>
      </c>
      <c r="B58">
        <v>0</v>
      </c>
      <c r="C58" s="7" t="s">
        <v>54</v>
      </c>
      <c r="D58" s="7" t="s">
        <v>42</v>
      </c>
      <c r="E58" s="7" t="s">
        <v>33</v>
      </c>
      <c r="F58" s="8">
        <v>8</v>
      </c>
      <c r="G58" s="9">
        <v>40540</v>
      </c>
      <c r="H58" s="7" t="s">
        <v>49</v>
      </c>
    </row>
    <row r="59" spans="1:8" ht="12.75" customHeight="1">
      <c r="A59" s="7">
        <v>35938</v>
      </c>
      <c r="B59">
        <v>0</v>
      </c>
      <c r="C59" s="7" t="s">
        <v>85</v>
      </c>
      <c r="D59" s="7" t="s">
        <v>32</v>
      </c>
      <c r="E59" s="7" t="s">
        <v>33</v>
      </c>
      <c r="F59" s="8">
        <v>2</v>
      </c>
      <c r="G59" s="9">
        <v>40529</v>
      </c>
      <c r="H59" s="7" t="s">
        <v>52</v>
      </c>
    </row>
    <row r="60" spans="1:8" ht="12.75" customHeight="1">
      <c r="A60" s="7">
        <v>162126</v>
      </c>
      <c r="B60">
        <v>0</v>
      </c>
      <c r="C60" s="7" t="s">
        <v>86</v>
      </c>
      <c r="D60" s="7" t="s">
        <v>32</v>
      </c>
      <c r="E60" s="7" t="s">
        <v>33</v>
      </c>
      <c r="F60" s="8">
        <v>3</v>
      </c>
      <c r="G60" s="9">
        <v>40532</v>
      </c>
      <c r="H60" s="7" t="s">
        <v>48</v>
      </c>
    </row>
    <row r="61" spans="1:8" ht="12.75" customHeight="1">
      <c r="A61" s="7">
        <v>453743</v>
      </c>
      <c r="B61">
        <v>0</v>
      </c>
      <c r="C61" s="7" t="s">
        <v>87</v>
      </c>
      <c r="D61" s="7" t="s">
        <v>38</v>
      </c>
      <c r="E61" s="7" t="s">
        <v>33</v>
      </c>
      <c r="F61" s="8">
        <v>3.25</v>
      </c>
      <c r="G61" s="9">
        <v>40532</v>
      </c>
      <c r="H61" s="7" t="s">
        <v>48</v>
      </c>
    </row>
    <row r="62" spans="1:8" ht="12.75" customHeight="1">
      <c r="A62" s="7">
        <v>674630</v>
      </c>
      <c r="B62">
        <v>0</v>
      </c>
      <c r="C62" s="7" t="s">
        <v>60</v>
      </c>
      <c r="D62" s="7" t="s">
        <v>42</v>
      </c>
      <c r="E62" s="7" t="s">
        <v>33</v>
      </c>
      <c r="F62" s="8">
        <v>8</v>
      </c>
      <c r="G62" s="9">
        <v>40532</v>
      </c>
      <c r="H62" s="7" t="s">
        <v>48</v>
      </c>
    </row>
    <row r="63" spans="1:8" ht="12.75" customHeight="1">
      <c r="A63" s="7">
        <v>422727</v>
      </c>
      <c r="B63">
        <v>0</v>
      </c>
      <c r="C63" s="7" t="s">
        <v>88</v>
      </c>
      <c r="D63" s="7" t="s">
        <v>40</v>
      </c>
      <c r="E63" s="7" t="s">
        <v>33</v>
      </c>
      <c r="F63" s="8">
        <v>8</v>
      </c>
      <c r="G63" s="9">
        <v>40533</v>
      </c>
      <c r="H63" s="7" t="s">
        <v>49</v>
      </c>
    </row>
    <row r="64" spans="1:8" ht="12.75" customHeight="1">
      <c r="A64" s="7">
        <v>820836</v>
      </c>
      <c r="B64">
        <v>0</v>
      </c>
      <c r="C64" s="7" t="s">
        <v>89</v>
      </c>
      <c r="D64" s="7" t="s">
        <v>40</v>
      </c>
      <c r="E64" s="7" t="s">
        <v>33</v>
      </c>
      <c r="F64" s="8">
        <v>4</v>
      </c>
      <c r="G64" s="9">
        <v>40529</v>
      </c>
      <c r="H64" s="7" t="s">
        <v>52</v>
      </c>
    </row>
    <row r="65" spans="1:8" ht="12.75" customHeight="1">
      <c r="A65" s="7">
        <v>647912</v>
      </c>
      <c r="B65">
        <v>0</v>
      </c>
      <c r="C65" s="7" t="s">
        <v>90</v>
      </c>
      <c r="D65" s="7" t="s">
        <v>32</v>
      </c>
      <c r="E65" s="7" t="s">
        <v>33</v>
      </c>
      <c r="F65" s="8">
        <v>2.5</v>
      </c>
      <c r="G65" s="9">
        <v>40529</v>
      </c>
      <c r="H65" s="7" t="s">
        <v>52</v>
      </c>
    </row>
    <row r="66" spans="1:8" ht="12.75" customHeight="1">
      <c r="A66" s="7">
        <v>363618</v>
      </c>
      <c r="B66">
        <v>0</v>
      </c>
      <c r="C66" s="7" t="s">
        <v>91</v>
      </c>
      <c r="D66" s="7" t="s">
        <v>32</v>
      </c>
      <c r="E66" s="7" t="s">
        <v>33</v>
      </c>
      <c r="F66" s="8">
        <v>1</v>
      </c>
      <c r="G66" s="9">
        <v>40533</v>
      </c>
      <c r="H66" s="7" t="s">
        <v>49</v>
      </c>
    </row>
    <row r="67" spans="1:8" ht="12.75" customHeight="1">
      <c r="A67" s="7">
        <v>309284</v>
      </c>
      <c r="B67">
        <v>0</v>
      </c>
      <c r="C67" s="7" t="s">
        <v>92</v>
      </c>
      <c r="D67" s="7" t="s">
        <v>32</v>
      </c>
      <c r="E67" s="7" t="s">
        <v>33</v>
      </c>
      <c r="F67" s="8">
        <v>8</v>
      </c>
      <c r="G67" s="9">
        <v>40532</v>
      </c>
      <c r="H67" s="7" t="s">
        <v>48</v>
      </c>
    </row>
    <row r="68" spans="1:8" ht="12.75" customHeight="1">
      <c r="A68" s="7">
        <v>694606</v>
      </c>
      <c r="B68">
        <v>0</v>
      </c>
      <c r="C68" s="7" t="s">
        <v>93</v>
      </c>
      <c r="D68" s="7" t="s">
        <v>32</v>
      </c>
      <c r="E68" s="7" t="s">
        <v>33</v>
      </c>
      <c r="F68" s="8">
        <v>0.75</v>
      </c>
      <c r="G68" s="9">
        <v>40532</v>
      </c>
      <c r="H68" s="7" t="s">
        <v>48</v>
      </c>
    </row>
    <row r="69" spans="1:8" ht="12.75" customHeight="1">
      <c r="A69" s="7">
        <v>694606</v>
      </c>
      <c r="B69">
        <v>0</v>
      </c>
      <c r="C69" s="7" t="s">
        <v>93</v>
      </c>
      <c r="D69" s="7" t="s">
        <v>32</v>
      </c>
      <c r="E69" s="7" t="s">
        <v>33</v>
      </c>
      <c r="F69" s="8">
        <v>0.5</v>
      </c>
      <c r="G69" s="9">
        <v>40541</v>
      </c>
      <c r="H69" s="7" t="s">
        <v>37</v>
      </c>
    </row>
    <row r="70" spans="1:8" ht="12.75" customHeight="1">
      <c r="A70" s="7">
        <v>942722</v>
      </c>
      <c r="B70">
        <v>0</v>
      </c>
      <c r="C70" s="7" t="s">
        <v>94</v>
      </c>
      <c r="D70" s="7" t="s">
        <v>32</v>
      </c>
      <c r="E70" s="7" t="s">
        <v>33</v>
      </c>
      <c r="F70" s="8">
        <v>1</v>
      </c>
      <c r="G70" s="9">
        <v>40533</v>
      </c>
      <c r="H70" s="7" t="s">
        <v>49</v>
      </c>
    </row>
    <row r="71" spans="1:8" ht="12.75" customHeight="1">
      <c r="A71" s="7">
        <v>689783</v>
      </c>
      <c r="B71">
        <v>0</v>
      </c>
      <c r="C71" s="7" t="s">
        <v>95</v>
      </c>
      <c r="D71" s="7" t="s">
        <v>32</v>
      </c>
      <c r="E71" s="7" t="s">
        <v>33</v>
      </c>
      <c r="F71" s="8">
        <v>3</v>
      </c>
      <c r="G71" s="9">
        <v>40541</v>
      </c>
      <c r="H71" s="7" t="s">
        <v>37</v>
      </c>
    </row>
    <row r="72" spans="1:8" ht="12.75" customHeight="1">
      <c r="A72" s="7">
        <v>572634</v>
      </c>
      <c r="B72">
        <v>0</v>
      </c>
      <c r="C72" s="7" t="s">
        <v>96</v>
      </c>
      <c r="D72" s="7" t="s">
        <v>38</v>
      </c>
      <c r="E72" s="7" t="s">
        <v>33</v>
      </c>
      <c r="F72" s="8">
        <v>8</v>
      </c>
      <c r="G72" s="9">
        <v>40529</v>
      </c>
      <c r="H72" s="7" t="s">
        <v>52</v>
      </c>
    </row>
    <row r="73" spans="1:8" ht="12.75" customHeight="1">
      <c r="A73" s="7">
        <v>572634</v>
      </c>
      <c r="B73">
        <v>0</v>
      </c>
      <c r="C73" s="7" t="s">
        <v>96</v>
      </c>
      <c r="D73" s="7" t="s">
        <v>36</v>
      </c>
      <c r="E73" s="7" t="s">
        <v>33</v>
      </c>
      <c r="F73" s="8">
        <v>8</v>
      </c>
      <c r="G73" s="9">
        <v>40532</v>
      </c>
      <c r="H73" s="7" t="s">
        <v>48</v>
      </c>
    </row>
    <row r="74" spans="1:8" ht="12.75" customHeight="1">
      <c r="A74" s="7">
        <v>572634</v>
      </c>
      <c r="B74">
        <v>0</v>
      </c>
      <c r="C74" s="7" t="s">
        <v>96</v>
      </c>
      <c r="D74" s="7" t="s">
        <v>36</v>
      </c>
      <c r="E74" s="7" t="s">
        <v>33</v>
      </c>
      <c r="F74" s="8">
        <v>8</v>
      </c>
      <c r="G74" s="9">
        <v>40533</v>
      </c>
      <c r="H74" s="7" t="s">
        <v>49</v>
      </c>
    </row>
    <row r="75" spans="1:8" ht="12.75" customHeight="1">
      <c r="A75" s="7">
        <v>572634</v>
      </c>
      <c r="B75">
        <v>0</v>
      </c>
      <c r="C75" s="7" t="s">
        <v>96</v>
      </c>
      <c r="D75" s="7" t="s">
        <v>36</v>
      </c>
      <c r="E75" s="7" t="s">
        <v>33</v>
      </c>
      <c r="F75" s="8">
        <v>8</v>
      </c>
      <c r="G75" s="9">
        <v>40534</v>
      </c>
      <c r="H75" s="7" t="s">
        <v>37</v>
      </c>
    </row>
    <row r="76" spans="1:8" ht="12.75" customHeight="1">
      <c r="A76" s="7">
        <v>53568</v>
      </c>
      <c r="B76">
        <v>0</v>
      </c>
      <c r="C76" s="7" t="s">
        <v>97</v>
      </c>
      <c r="D76" s="7" t="s">
        <v>42</v>
      </c>
      <c r="E76" s="7" t="s">
        <v>33</v>
      </c>
      <c r="F76" s="8">
        <v>8</v>
      </c>
      <c r="G76" s="9">
        <v>40542</v>
      </c>
      <c r="H76" s="7" t="s">
        <v>34</v>
      </c>
    </row>
    <row r="77" spans="1:8" ht="12.75" customHeight="1">
      <c r="A77" s="7">
        <v>341458</v>
      </c>
      <c r="B77">
        <v>0</v>
      </c>
      <c r="C77" s="7" t="s">
        <v>58</v>
      </c>
      <c r="D77" s="7" t="s">
        <v>42</v>
      </c>
      <c r="E77" s="7" t="s">
        <v>33</v>
      </c>
      <c r="F77" s="8">
        <v>8</v>
      </c>
      <c r="G77" s="9">
        <v>40542</v>
      </c>
      <c r="H77" s="7" t="s">
        <v>34</v>
      </c>
    </row>
    <row r="78" spans="1:8" ht="12.75" customHeight="1">
      <c r="A78" s="7">
        <v>645109</v>
      </c>
      <c r="B78">
        <v>0</v>
      </c>
      <c r="C78" s="7" t="s">
        <v>35</v>
      </c>
      <c r="D78" s="7" t="s">
        <v>42</v>
      </c>
      <c r="E78" s="7" t="s">
        <v>33</v>
      </c>
      <c r="F78" s="8">
        <v>4</v>
      </c>
      <c r="G78" s="9">
        <v>40533</v>
      </c>
      <c r="H78" s="7" t="s">
        <v>49</v>
      </c>
    </row>
    <row r="79" spans="1:8" ht="12.75" customHeight="1">
      <c r="A79" s="7">
        <v>645109</v>
      </c>
      <c r="B79">
        <v>0</v>
      </c>
      <c r="C79" s="7" t="s">
        <v>35</v>
      </c>
      <c r="D79" s="7" t="s">
        <v>42</v>
      </c>
      <c r="E79" s="7" t="s">
        <v>33</v>
      </c>
      <c r="F79" s="8">
        <v>8</v>
      </c>
      <c r="G79" s="9">
        <v>40534</v>
      </c>
      <c r="H79" s="7" t="s">
        <v>37</v>
      </c>
    </row>
    <row r="80" spans="1:8" ht="12.75" customHeight="1">
      <c r="A80" s="7">
        <v>645109</v>
      </c>
      <c r="B80">
        <v>0</v>
      </c>
      <c r="C80" s="7" t="s">
        <v>35</v>
      </c>
      <c r="D80" s="7" t="s">
        <v>42</v>
      </c>
      <c r="E80" s="7" t="s">
        <v>33</v>
      </c>
      <c r="F80" s="8">
        <v>8</v>
      </c>
      <c r="G80" s="9">
        <v>40535</v>
      </c>
      <c r="H80" s="7" t="s">
        <v>34</v>
      </c>
    </row>
    <row r="81" spans="1:8" ht="12.75" customHeight="1">
      <c r="A81" s="7">
        <v>309793</v>
      </c>
      <c r="B81">
        <v>0</v>
      </c>
      <c r="C81" s="7" t="s">
        <v>98</v>
      </c>
      <c r="D81" s="7" t="s">
        <v>40</v>
      </c>
      <c r="E81" s="7" t="s">
        <v>33</v>
      </c>
      <c r="F81" s="8">
        <v>2</v>
      </c>
      <c r="G81" s="9">
        <v>40534</v>
      </c>
      <c r="H81" s="7" t="s">
        <v>37</v>
      </c>
    </row>
    <row r="82" spans="1:8" ht="12.75" customHeight="1">
      <c r="A82" s="7">
        <v>689074</v>
      </c>
      <c r="B82">
        <v>0</v>
      </c>
      <c r="C82" s="7" t="s">
        <v>99</v>
      </c>
      <c r="D82" s="7" t="s">
        <v>42</v>
      </c>
      <c r="E82" s="7" t="s">
        <v>33</v>
      </c>
      <c r="F82" s="8">
        <v>8</v>
      </c>
      <c r="G82" s="9">
        <v>40540</v>
      </c>
      <c r="H82" s="7" t="s">
        <v>49</v>
      </c>
    </row>
    <row r="83" spans="1:8" ht="12.75" customHeight="1">
      <c r="A83" s="7">
        <v>689074</v>
      </c>
      <c r="B83">
        <v>0</v>
      </c>
      <c r="C83" s="7" t="s">
        <v>99</v>
      </c>
      <c r="D83" s="7" t="s">
        <v>42</v>
      </c>
      <c r="E83" s="7" t="s">
        <v>33</v>
      </c>
      <c r="F83" s="8">
        <v>8</v>
      </c>
      <c r="G83" s="9">
        <v>40541</v>
      </c>
      <c r="H83" s="7" t="s">
        <v>37</v>
      </c>
    </row>
    <row r="84" spans="1:8" ht="12.75" customHeight="1">
      <c r="A84" s="7">
        <v>689074</v>
      </c>
      <c r="B84">
        <v>0</v>
      </c>
      <c r="C84" s="7" t="s">
        <v>99</v>
      </c>
      <c r="D84" s="7" t="s">
        <v>42</v>
      </c>
      <c r="E84" s="7" t="s">
        <v>33</v>
      </c>
      <c r="F84" s="8">
        <v>8</v>
      </c>
      <c r="G84" s="9">
        <v>40542</v>
      </c>
      <c r="H84" s="7" t="s">
        <v>34</v>
      </c>
    </row>
    <row r="85" spans="1:8" ht="12.75" customHeight="1">
      <c r="A85" s="7">
        <v>609303</v>
      </c>
      <c r="B85">
        <v>1</v>
      </c>
      <c r="C85" s="7" t="s">
        <v>100</v>
      </c>
      <c r="D85" s="7" t="s">
        <v>42</v>
      </c>
      <c r="E85" s="7" t="s">
        <v>33</v>
      </c>
      <c r="F85" s="8">
        <v>8</v>
      </c>
      <c r="G85" s="9">
        <v>40540</v>
      </c>
      <c r="H85" s="7" t="s">
        <v>49</v>
      </c>
    </row>
    <row r="86" spans="1:8" ht="12.75" customHeight="1">
      <c r="A86" s="7">
        <v>185450</v>
      </c>
      <c r="B86">
        <v>0</v>
      </c>
      <c r="C86" s="7" t="s">
        <v>101</v>
      </c>
      <c r="D86" s="7" t="s">
        <v>42</v>
      </c>
      <c r="E86" s="7" t="s">
        <v>33</v>
      </c>
      <c r="F86" s="8">
        <v>4</v>
      </c>
      <c r="G86" s="9">
        <v>40533</v>
      </c>
      <c r="H86" s="7" t="s">
        <v>49</v>
      </c>
    </row>
    <row r="87" spans="1:8" ht="12.75" customHeight="1">
      <c r="A87" s="7">
        <v>525099</v>
      </c>
      <c r="B87">
        <v>0</v>
      </c>
      <c r="C87" s="7" t="s">
        <v>102</v>
      </c>
      <c r="D87" s="7" t="s">
        <v>42</v>
      </c>
      <c r="E87" s="7" t="s">
        <v>33</v>
      </c>
      <c r="F87" s="8">
        <v>8</v>
      </c>
      <c r="G87" s="9">
        <v>40532</v>
      </c>
      <c r="H87" s="7" t="s">
        <v>48</v>
      </c>
    </row>
    <row r="88" spans="1:8" ht="12.75" customHeight="1">
      <c r="A88" s="7">
        <v>217327</v>
      </c>
      <c r="B88">
        <v>0</v>
      </c>
      <c r="C88" s="7" t="s">
        <v>103</v>
      </c>
      <c r="D88" s="7" t="s">
        <v>42</v>
      </c>
      <c r="E88" s="7" t="s">
        <v>33</v>
      </c>
      <c r="F88" s="8">
        <v>8</v>
      </c>
      <c r="G88" s="9">
        <v>40529</v>
      </c>
      <c r="H88" s="7" t="s">
        <v>52</v>
      </c>
    </row>
    <row r="89" spans="1:8" ht="12.75" customHeight="1">
      <c r="A89" s="7">
        <v>585545</v>
      </c>
      <c r="B89">
        <v>0</v>
      </c>
      <c r="C89" s="7" t="s">
        <v>104</v>
      </c>
      <c r="D89" s="7" t="s">
        <v>42</v>
      </c>
      <c r="E89" s="7" t="s">
        <v>33</v>
      </c>
      <c r="F89" s="8">
        <v>8</v>
      </c>
      <c r="G89" s="9">
        <v>40540</v>
      </c>
      <c r="H89" s="7" t="s">
        <v>49</v>
      </c>
    </row>
    <row r="90" spans="1:8" ht="12.75" customHeight="1">
      <c r="A90" s="7">
        <v>853351</v>
      </c>
      <c r="B90">
        <v>0</v>
      </c>
      <c r="C90" s="7" t="s">
        <v>105</v>
      </c>
      <c r="D90" s="7" t="s">
        <v>32</v>
      </c>
      <c r="E90" s="7" t="s">
        <v>33</v>
      </c>
      <c r="F90" s="8">
        <v>2</v>
      </c>
      <c r="G90" s="9">
        <v>40532</v>
      </c>
      <c r="H90" s="7" t="s">
        <v>48</v>
      </c>
    </row>
    <row r="91" spans="1:8" ht="12.75" customHeight="1">
      <c r="A91" s="7">
        <v>853351</v>
      </c>
      <c r="B91">
        <v>0</v>
      </c>
      <c r="C91" s="7" t="s">
        <v>105</v>
      </c>
      <c r="D91" s="7" t="s">
        <v>32</v>
      </c>
      <c r="E91" s="7" t="s">
        <v>33</v>
      </c>
      <c r="F91" s="8">
        <v>4</v>
      </c>
      <c r="G91" s="9">
        <v>40529</v>
      </c>
      <c r="H91" s="7" t="s">
        <v>52</v>
      </c>
    </row>
    <row r="92" spans="1:8" ht="12.75" customHeight="1">
      <c r="A92" s="7">
        <v>853351</v>
      </c>
      <c r="B92">
        <v>0</v>
      </c>
      <c r="C92" s="7" t="s">
        <v>105</v>
      </c>
      <c r="D92" s="7" t="s">
        <v>42</v>
      </c>
      <c r="E92" s="7" t="s">
        <v>33</v>
      </c>
      <c r="F92" s="8">
        <v>8</v>
      </c>
      <c r="G92" s="9">
        <v>40533</v>
      </c>
      <c r="H92" s="7" t="s">
        <v>49</v>
      </c>
    </row>
    <row r="93" spans="1:8" ht="12.75" customHeight="1">
      <c r="A93" s="7">
        <v>972886</v>
      </c>
      <c r="B93">
        <v>0</v>
      </c>
      <c r="C93" s="7" t="s">
        <v>106</v>
      </c>
      <c r="D93" s="7" t="s">
        <v>32</v>
      </c>
      <c r="E93" s="7" t="s">
        <v>33</v>
      </c>
      <c r="F93" s="8">
        <v>1</v>
      </c>
      <c r="G93" s="9">
        <v>40532</v>
      </c>
      <c r="H93" s="7" t="s">
        <v>48</v>
      </c>
    </row>
    <row r="94" spans="1:8" ht="12.75" customHeight="1">
      <c r="A94" s="7">
        <v>934035</v>
      </c>
      <c r="B94">
        <v>0</v>
      </c>
      <c r="C94" s="7" t="s">
        <v>107</v>
      </c>
      <c r="D94" s="7" t="s">
        <v>38</v>
      </c>
      <c r="E94" s="7" t="s">
        <v>33</v>
      </c>
      <c r="F94" s="8">
        <v>4</v>
      </c>
      <c r="G94" s="9">
        <v>40547</v>
      </c>
      <c r="H94" s="7" t="s">
        <v>49</v>
      </c>
    </row>
    <row r="95" spans="1:8" ht="12.75" customHeight="1">
      <c r="A95" s="7">
        <v>459949</v>
      </c>
      <c r="B95">
        <v>0</v>
      </c>
      <c r="C95" s="7" t="s">
        <v>78</v>
      </c>
      <c r="D95" s="7" t="s">
        <v>38</v>
      </c>
      <c r="E95" s="7" t="s">
        <v>33</v>
      </c>
      <c r="F95" s="8">
        <v>5</v>
      </c>
      <c r="G95" s="9">
        <v>40547</v>
      </c>
      <c r="H95" s="7" t="s">
        <v>49</v>
      </c>
    </row>
    <row r="96" spans="1:8" ht="12.75" customHeight="1">
      <c r="A96" s="7">
        <v>459949</v>
      </c>
      <c r="B96">
        <v>0</v>
      </c>
      <c r="C96" s="7" t="s">
        <v>78</v>
      </c>
      <c r="D96" s="7" t="s">
        <v>38</v>
      </c>
      <c r="E96" s="7" t="s">
        <v>33</v>
      </c>
      <c r="F96" s="8">
        <v>-4</v>
      </c>
      <c r="G96" s="9">
        <v>40547</v>
      </c>
      <c r="H96" s="7" t="s">
        <v>49</v>
      </c>
    </row>
    <row r="97" spans="1:8" ht="12.75" customHeight="1">
      <c r="A97" s="7">
        <v>459949</v>
      </c>
      <c r="B97">
        <v>0</v>
      </c>
      <c r="C97" s="7" t="s">
        <v>78</v>
      </c>
      <c r="D97" s="7" t="s">
        <v>38</v>
      </c>
      <c r="E97" s="7" t="s">
        <v>33</v>
      </c>
      <c r="F97" s="8">
        <v>3</v>
      </c>
      <c r="G97" s="9">
        <v>40548</v>
      </c>
      <c r="H97" s="7" t="s">
        <v>37</v>
      </c>
    </row>
    <row r="98" spans="1:8" ht="12.75" customHeight="1">
      <c r="A98" s="7">
        <v>377203</v>
      </c>
      <c r="B98">
        <v>0</v>
      </c>
      <c r="C98" s="7" t="s">
        <v>108</v>
      </c>
      <c r="D98" s="7" t="s">
        <v>32</v>
      </c>
      <c r="E98" s="7" t="s">
        <v>33</v>
      </c>
      <c r="F98" s="8">
        <v>1</v>
      </c>
      <c r="G98" s="9">
        <v>40546</v>
      </c>
      <c r="H98" s="7" t="s">
        <v>48</v>
      </c>
    </row>
    <row r="99" spans="1:8" ht="12.75" customHeight="1">
      <c r="A99" s="7">
        <v>728279</v>
      </c>
      <c r="B99">
        <v>0</v>
      </c>
      <c r="C99" s="7" t="s">
        <v>109</v>
      </c>
      <c r="D99" s="7" t="s">
        <v>42</v>
      </c>
      <c r="E99" s="7" t="s">
        <v>33</v>
      </c>
      <c r="F99" s="8">
        <v>7</v>
      </c>
      <c r="G99" s="9">
        <v>40549</v>
      </c>
      <c r="H99" s="7" t="s">
        <v>34</v>
      </c>
    </row>
    <row r="100" spans="1:8" ht="12.75" customHeight="1">
      <c r="A100" s="7">
        <v>642295</v>
      </c>
      <c r="B100">
        <v>0</v>
      </c>
      <c r="C100" s="7" t="s">
        <v>110</v>
      </c>
      <c r="D100" s="7" t="s">
        <v>38</v>
      </c>
      <c r="E100" s="7" t="s">
        <v>33</v>
      </c>
      <c r="F100" s="8">
        <v>8</v>
      </c>
      <c r="G100" s="9">
        <v>40550</v>
      </c>
      <c r="H100" s="7" t="s">
        <v>52</v>
      </c>
    </row>
    <row r="101" spans="1:8" ht="12.75" customHeight="1">
      <c r="A101" s="7">
        <v>624084</v>
      </c>
      <c r="B101">
        <v>0</v>
      </c>
      <c r="C101" s="7" t="s">
        <v>57</v>
      </c>
      <c r="D101" s="7" t="s">
        <v>32</v>
      </c>
      <c r="E101" s="7" t="s">
        <v>33</v>
      </c>
      <c r="F101" s="8">
        <v>-1.25</v>
      </c>
      <c r="G101" s="9">
        <v>40528</v>
      </c>
      <c r="H101" s="7" t="s">
        <v>34</v>
      </c>
    </row>
    <row r="102" spans="1:8" ht="12.75" customHeight="1">
      <c r="A102" s="7">
        <v>624084</v>
      </c>
      <c r="B102">
        <v>0</v>
      </c>
      <c r="C102" s="7" t="s">
        <v>57</v>
      </c>
      <c r="D102" s="7" t="s">
        <v>32</v>
      </c>
      <c r="E102" s="7" t="s">
        <v>33</v>
      </c>
      <c r="F102" s="8">
        <v>1.75</v>
      </c>
      <c r="G102" s="9">
        <v>40528</v>
      </c>
      <c r="H102" s="7" t="s">
        <v>34</v>
      </c>
    </row>
    <row r="103" spans="1:8" ht="12.75" customHeight="1">
      <c r="A103" s="7">
        <v>728279</v>
      </c>
      <c r="B103">
        <v>0</v>
      </c>
      <c r="C103" s="7" t="s">
        <v>109</v>
      </c>
      <c r="D103" s="7" t="s">
        <v>32</v>
      </c>
      <c r="E103" s="7" t="s">
        <v>33</v>
      </c>
      <c r="F103" s="8">
        <v>2</v>
      </c>
      <c r="G103" s="9">
        <v>40528</v>
      </c>
      <c r="H103" s="7" t="s">
        <v>34</v>
      </c>
    </row>
    <row r="104" spans="1:8" ht="12.75" customHeight="1">
      <c r="A104" s="7">
        <v>140990</v>
      </c>
      <c r="B104">
        <v>0</v>
      </c>
      <c r="C104" s="7" t="s">
        <v>64</v>
      </c>
      <c r="D104" s="7" t="s">
        <v>32</v>
      </c>
      <c r="E104" s="7" t="s">
        <v>33</v>
      </c>
      <c r="F104" s="8">
        <v>3</v>
      </c>
      <c r="G104" s="9">
        <v>40528</v>
      </c>
      <c r="H104" s="7" t="s">
        <v>34</v>
      </c>
    </row>
    <row r="105" spans="1:8" ht="12.75" customHeight="1">
      <c r="A105" s="7">
        <v>198333</v>
      </c>
      <c r="B105">
        <v>1</v>
      </c>
      <c r="C105" s="7" t="s">
        <v>111</v>
      </c>
      <c r="D105" s="7" t="s">
        <v>42</v>
      </c>
      <c r="E105" s="7" t="s">
        <v>33</v>
      </c>
      <c r="F105" s="8">
        <v>4</v>
      </c>
      <c r="G105" s="9">
        <v>40528</v>
      </c>
      <c r="H105" s="7" t="s">
        <v>34</v>
      </c>
    </row>
    <row r="106" spans="1:8" ht="12.75" customHeight="1">
      <c r="A106" s="7">
        <v>44371</v>
      </c>
      <c r="B106">
        <v>0</v>
      </c>
      <c r="C106" s="7" t="s">
        <v>112</v>
      </c>
      <c r="D106" s="7" t="s">
        <v>42</v>
      </c>
      <c r="E106" s="7" t="s">
        <v>33</v>
      </c>
      <c r="F106" s="8">
        <v>3</v>
      </c>
      <c r="G106" s="9">
        <v>40527</v>
      </c>
      <c r="H106" s="7" t="s">
        <v>37</v>
      </c>
    </row>
    <row r="107" spans="1:8" ht="12.75" customHeight="1">
      <c r="A107" s="7">
        <v>44371</v>
      </c>
      <c r="B107">
        <v>0</v>
      </c>
      <c r="C107" s="7" t="s">
        <v>112</v>
      </c>
      <c r="D107" s="7" t="s">
        <v>42</v>
      </c>
      <c r="E107" s="7" t="s">
        <v>33</v>
      </c>
      <c r="F107" s="8">
        <v>8</v>
      </c>
      <c r="G107" s="9">
        <v>40528</v>
      </c>
      <c r="H107" s="7" t="s">
        <v>34</v>
      </c>
    </row>
    <row r="108" spans="1:8" ht="12.75" customHeight="1">
      <c r="A108" s="7">
        <v>988116</v>
      </c>
      <c r="B108">
        <v>0</v>
      </c>
      <c r="C108" s="7" t="s">
        <v>113</v>
      </c>
      <c r="D108" s="7" t="s">
        <v>42</v>
      </c>
      <c r="E108" s="7" t="s">
        <v>33</v>
      </c>
      <c r="F108" s="8">
        <v>7</v>
      </c>
      <c r="G108" s="9">
        <v>40527</v>
      </c>
      <c r="H108" s="7" t="s">
        <v>37</v>
      </c>
    </row>
    <row r="109" spans="1:8" ht="12.75" customHeight="1">
      <c r="A109" s="7">
        <v>500684</v>
      </c>
      <c r="B109">
        <v>0</v>
      </c>
      <c r="C109" s="7" t="s">
        <v>114</v>
      </c>
      <c r="D109" s="7" t="s">
        <v>32</v>
      </c>
      <c r="E109" s="7" t="s">
        <v>33</v>
      </c>
      <c r="F109" s="8">
        <v>1</v>
      </c>
      <c r="G109" s="9">
        <v>40528</v>
      </c>
      <c r="H109" s="7" t="s">
        <v>34</v>
      </c>
    </row>
    <row r="110" spans="1:8" ht="12.75" customHeight="1">
      <c r="A110" s="7">
        <v>429643</v>
      </c>
      <c r="B110">
        <v>0</v>
      </c>
      <c r="C110" s="7" t="s">
        <v>115</v>
      </c>
      <c r="D110" s="7" t="s">
        <v>42</v>
      </c>
      <c r="E110" s="7" t="s">
        <v>33</v>
      </c>
      <c r="F110" s="8">
        <v>8</v>
      </c>
      <c r="G110" s="9">
        <v>40527</v>
      </c>
      <c r="H110" s="7" t="s">
        <v>37</v>
      </c>
    </row>
    <row r="111" spans="1:8" ht="12.75" customHeight="1">
      <c r="A111" s="7">
        <v>429643</v>
      </c>
      <c r="B111">
        <v>0</v>
      </c>
      <c r="C111" s="7" t="s">
        <v>115</v>
      </c>
      <c r="D111" s="7" t="s">
        <v>32</v>
      </c>
      <c r="E111" s="7" t="s">
        <v>33</v>
      </c>
      <c r="F111" s="8">
        <v>2.75</v>
      </c>
      <c r="G111" s="9">
        <v>40528</v>
      </c>
      <c r="H111" s="7" t="s">
        <v>34</v>
      </c>
    </row>
    <row r="112" spans="1:8" ht="12.75" customHeight="1">
      <c r="A112" s="7">
        <v>738503</v>
      </c>
      <c r="B112">
        <v>0</v>
      </c>
      <c r="C112" s="7" t="s">
        <v>116</v>
      </c>
      <c r="D112" s="7" t="s">
        <v>32</v>
      </c>
      <c r="E112" s="7" t="s">
        <v>33</v>
      </c>
      <c r="F112" s="8">
        <v>1.25</v>
      </c>
      <c r="G112" s="9">
        <v>40528</v>
      </c>
      <c r="H112" s="7" t="s">
        <v>34</v>
      </c>
    </row>
    <row r="113" spans="1:8" ht="12.75" customHeight="1">
      <c r="A113" s="7">
        <v>55381</v>
      </c>
      <c r="B113">
        <v>0</v>
      </c>
      <c r="C113" s="7" t="s">
        <v>117</v>
      </c>
      <c r="D113" s="7" t="s">
        <v>32</v>
      </c>
      <c r="E113" s="7" t="s">
        <v>33</v>
      </c>
      <c r="F113" s="8">
        <v>8</v>
      </c>
      <c r="G113" s="9">
        <v>40527</v>
      </c>
      <c r="H113" s="7" t="s">
        <v>37</v>
      </c>
    </row>
    <row r="114" spans="1:8" ht="12.75" customHeight="1">
      <c r="A114" s="7">
        <v>115195</v>
      </c>
      <c r="B114">
        <v>0</v>
      </c>
      <c r="C114" s="7" t="s">
        <v>118</v>
      </c>
      <c r="D114" s="7" t="s">
        <v>32</v>
      </c>
      <c r="E114" s="7" t="s">
        <v>33</v>
      </c>
      <c r="F114" s="8">
        <v>1.5</v>
      </c>
      <c r="G114" s="9">
        <v>40527</v>
      </c>
      <c r="H114" s="7" t="s">
        <v>37</v>
      </c>
    </row>
    <row r="115" spans="1:8" ht="12.75" customHeight="1">
      <c r="A115" s="7">
        <v>545521</v>
      </c>
      <c r="B115">
        <v>0</v>
      </c>
      <c r="C115" s="7" t="s">
        <v>119</v>
      </c>
      <c r="D115" s="7" t="s">
        <v>42</v>
      </c>
      <c r="E115" s="7" t="s">
        <v>33</v>
      </c>
      <c r="F115" s="8">
        <v>2.25</v>
      </c>
      <c r="G115" s="9">
        <v>40528</v>
      </c>
      <c r="H115" s="7" t="s">
        <v>34</v>
      </c>
    </row>
    <row r="116" spans="1:8" ht="12.75" customHeight="1">
      <c r="A116" s="7">
        <v>775444</v>
      </c>
      <c r="B116">
        <v>0</v>
      </c>
      <c r="C116" s="7" t="s">
        <v>120</v>
      </c>
      <c r="D116" s="7" t="s">
        <v>32</v>
      </c>
      <c r="E116" s="7" t="s">
        <v>33</v>
      </c>
      <c r="F116" s="8">
        <v>1</v>
      </c>
      <c r="G116" s="9">
        <v>40528</v>
      </c>
      <c r="H116" s="7" t="s">
        <v>34</v>
      </c>
    </row>
    <row r="117" spans="1:8" ht="12.75" customHeight="1">
      <c r="A117" s="7">
        <v>856465</v>
      </c>
      <c r="B117">
        <v>0</v>
      </c>
      <c r="C117" s="7" t="s">
        <v>121</v>
      </c>
      <c r="D117" s="7" t="s">
        <v>32</v>
      </c>
      <c r="E117" s="7" t="s">
        <v>33</v>
      </c>
      <c r="F117" s="8">
        <v>6</v>
      </c>
      <c r="G117" s="9">
        <v>40527</v>
      </c>
      <c r="H117" s="7" t="s">
        <v>37</v>
      </c>
    </row>
    <row r="118" spans="1:8" ht="12.75" customHeight="1">
      <c r="A118" s="7">
        <v>555242</v>
      </c>
      <c r="B118">
        <v>0</v>
      </c>
      <c r="C118" s="7" t="s">
        <v>122</v>
      </c>
      <c r="D118" s="7" t="s">
        <v>32</v>
      </c>
      <c r="E118" s="7" t="s">
        <v>33</v>
      </c>
      <c r="F118" s="8">
        <v>3.5</v>
      </c>
      <c r="G118" s="9">
        <v>40528</v>
      </c>
      <c r="H118" s="7" t="s">
        <v>34</v>
      </c>
    </row>
    <row r="119" spans="1:8" ht="12.75" customHeight="1">
      <c r="A119" s="7">
        <v>251999</v>
      </c>
      <c r="B119">
        <v>0</v>
      </c>
      <c r="C119" s="7" t="s">
        <v>123</v>
      </c>
      <c r="D119" s="7" t="s">
        <v>42</v>
      </c>
      <c r="E119" s="7" t="s">
        <v>33</v>
      </c>
      <c r="F119" s="8">
        <v>1.5</v>
      </c>
      <c r="G119" s="9">
        <v>40528</v>
      </c>
      <c r="H119" s="7" t="s">
        <v>34</v>
      </c>
    </row>
    <row r="120" spans="1:8" ht="12.75" customHeight="1">
      <c r="A120" s="7">
        <v>99193</v>
      </c>
      <c r="B120">
        <v>0</v>
      </c>
      <c r="C120" s="7" t="s">
        <v>124</v>
      </c>
      <c r="D120" s="7" t="s">
        <v>42</v>
      </c>
      <c r="E120" s="7" t="s">
        <v>33</v>
      </c>
      <c r="F120" s="8">
        <v>4</v>
      </c>
      <c r="G120" s="9">
        <v>40527</v>
      </c>
      <c r="H120" s="7" t="s">
        <v>37</v>
      </c>
    </row>
    <row r="121" spans="1:8" ht="12.75" customHeight="1">
      <c r="A121" s="7">
        <v>99193</v>
      </c>
      <c r="B121">
        <v>0</v>
      </c>
      <c r="C121" s="7" t="s">
        <v>124</v>
      </c>
      <c r="D121" s="7" t="s">
        <v>42</v>
      </c>
      <c r="E121" s="7" t="s">
        <v>33</v>
      </c>
      <c r="F121" s="8">
        <v>8</v>
      </c>
      <c r="G121" s="9">
        <v>40528</v>
      </c>
      <c r="H121" s="7" t="s">
        <v>34</v>
      </c>
    </row>
    <row r="122" spans="1:8" ht="12.75" customHeight="1">
      <c r="A122" s="7">
        <v>392062</v>
      </c>
      <c r="B122">
        <v>0</v>
      </c>
      <c r="C122" s="7" t="s">
        <v>125</v>
      </c>
      <c r="D122" s="7" t="s">
        <v>42</v>
      </c>
      <c r="E122" s="7" t="s">
        <v>33</v>
      </c>
      <c r="F122" s="8">
        <v>8</v>
      </c>
      <c r="G122" s="9">
        <v>40528</v>
      </c>
      <c r="H122" s="7" t="s">
        <v>34</v>
      </c>
    </row>
    <row r="123" spans="1:8" ht="12.75" customHeight="1">
      <c r="A123" s="7">
        <v>422727</v>
      </c>
      <c r="B123">
        <v>0</v>
      </c>
      <c r="C123" s="7" t="s">
        <v>88</v>
      </c>
      <c r="D123" s="7" t="s">
        <v>40</v>
      </c>
      <c r="E123" s="7" t="s">
        <v>33</v>
      </c>
      <c r="F123" s="8">
        <v>2</v>
      </c>
      <c r="G123" s="9">
        <v>40528</v>
      </c>
      <c r="H123" s="7" t="s">
        <v>34</v>
      </c>
    </row>
    <row r="124" spans="1:8" ht="12.75" customHeight="1">
      <c r="A124" s="7">
        <v>377203</v>
      </c>
      <c r="B124">
        <v>0</v>
      </c>
      <c r="C124" s="7" t="s">
        <v>108</v>
      </c>
      <c r="D124" s="7" t="s">
        <v>32</v>
      </c>
      <c r="E124" s="7" t="s">
        <v>33</v>
      </c>
      <c r="F124" s="8">
        <v>1</v>
      </c>
      <c r="G124" s="9">
        <v>40534</v>
      </c>
      <c r="H124" s="7" t="s">
        <v>37</v>
      </c>
    </row>
    <row r="125" spans="1:8" ht="12.75" customHeight="1">
      <c r="A125" s="7">
        <v>654062</v>
      </c>
      <c r="B125">
        <v>0</v>
      </c>
      <c r="C125" s="7" t="s">
        <v>126</v>
      </c>
      <c r="D125" s="7" t="s">
        <v>42</v>
      </c>
      <c r="E125" s="7" t="s">
        <v>33</v>
      </c>
      <c r="F125" s="8">
        <v>8</v>
      </c>
      <c r="G125" s="9">
        <v>40533</v>
      </c>
      <c r="H125" s="7" t="s">
        <v>49</v>
      </c>
    </row>
    <row r="126" spans="1:8" ht="12.75" customHeight="1">
      <c r="A126" s="7">
        <v>755355</v>
      </c>
      <c r="B126">
        <v>0</v>
      </c>
      <c r="C126" s="7" t="s">
        <v>127</v>
      </c>
      <c r="D126" s="7" t="s">
        <v>42</v>
      </c>
      <c r="E126" s="7" t="s">
        <v>33</v>
      </c>
      <c r="F126" s="8">
        <v>8</v>
      </c>
      <c r="G126" s="9">
        <v>40533</v>
      </c>
      <c r="H126" s="7" t="s">
        <v>49</v>
      </c>
    </row>
    <row r="127" spans="1:8" ht="12.75" customHeight="1">
      <c r="A127" s="7">
        <v>555862</v>
      </c>
      <c r="B127">
        <v>0</v>
      </c>
      <c r="C127" s="7" t="s">
        <v>128</v>
      </c>
      <c r="D127" s="7" t="s">
        <v>32</v>
      </c>
      <c r="E127" s="7" t="s">
        <v>33</v>
      </c>
      <c r="F127" s="8">
        <v>2</v>
      </c>
      <c r="G127" s="9">
        <v>40529</v>
      </c>
      <c r="H127" s="7" t="s">
        <v>52</v>
      </c>
    </row>
    <row r="128" spans="1:8" ht="12.75" customHeight="1">
      <c r="A128" s="7">
        <v>338561</v>
      </c>
      <c r="B128">
        <v>0</v>
      </c>
      <c r="C128" s="7" t="s">
        <v>129</v>
      </c>
      <c r="D128" s="7" t="s">
        <v>32</v>
      </c>
      <c r="E128" s="7" t="s">
        <v>33</v>
      </c>
      <c r="F128" s="8">
        <v>1</v>
      </c>
      <c r="G128" s="9">
        <v>40540</v>
      </c>
      <c r="H128" s="7" t="s">
        <v>49</v>
      </c>
    </row>
    <row r="129" spans="1:8" ht="12.75" customHeight="1">
      <c r="A129" s="7">
        <v>226479</v>
      </c>
      <c r="B129">
        <v>0</v>
      </c>
      <c r="C129" s="7" t="s">
        <v>130</v>
      </c>
      <c r="D129" s="7" t="s">
        <v>32</v>
      </c>
      <c r="E129" s="7" t="s">
        <v>33</v>
      </c>
      <c r="F129" s="8">
        <v>1</v>
      </c>
      <c r="G129" s="9">
        <v>40532</v>
      </c>
      <c r="H129" s="7" t="s">
        <v>48</v>
      </c>
    </row>
    <row r="130" spans="1:8" ht="12.75" customHeight="1">
      <c r="A130" s="7">
        <v>226479</v>
      </c>
      <c r="B130">
        <v>0</v>
      </c>
      <c r="C130" s="7" t="s">
        <v>130</v>
      </c>
      <c r="D130" s="7" t="s">
        <v>32</v>
      </c>
      <c r="E130" s="7" t="s">
        <v>33</v>
      </c>
      <c r="F130" s="8">
        <v>2</v>
      </c>
      <c r="G130" s="9">
        <v>40535</v>
      </c>
      <c r="H130" s="7" t="s">
        <v>34</v>
      </c>
    </row>
    <row r="131" spans="1:8" ht="12.75" customHeight="1">
      <c r="A131" s="7">
        <v>500684</v>
      </c>
      <c r="B131">
        <v>0</v>
      </c>
      <c r="C131" s="7" t="s">
        <v>114</v>
      </c>
      <c r="D131" s="7" t="s">
        <v>40</v>
      </c>
      <c r="E131" s="7" t="s">
        <v>33</v>
      </c>
      <c r="F131" s="8">
        <v>3</v>
      </c>
      <c r="G131" s="9">
        <v>40532</v>
      </c>
      <c r="H131" s="7" t="s">
        <v>48</v>
      </c>
    </row>
    <row r="132" spans="1:8" ht="12.75" customHeight="1">
      <c r="A132" s="7">
        <v>462639</v>
      </c>
      <c r="B132">
        <v>0</v>
      </c>
      <c r="C132" s="7" t="s">
        <v>131</v>
      </c>
      <c r="D132" s="7" t="s">
        <v>42</v>
      </c>
      <c r="E132" s="7" t="s">
        <v>33</v>
      </c>
      <c r="F132" s="8">
        <v>5</v>
      </c>
      <c r="G132" s="9">
        <v>40541</v>
      </c>
      <c r="H132" s="7" t="s">
        <v>37</v>
      </c>
    </row>
    <row r="133" spans="1:8" ht="12.75" customHeight="1">
      <c r="A133" s="7">
        <v>793716</v>
      </c>
      <c r="B133">
        <v>0</v>
      </c>
      <c r="C133" s="7" t="s">
        <v>132</v>
      </c>
      <c r="D133" s="7" t="s">
        <v>32</v>
      </c>
      <c r="E133" s="7" t="s">
        <v>33</v>
      </c>
      <c r="F133" s="8">
        <v>1</v>
      </c>
      <c r="G133" s="9">
        <v>40529</v>
      </c>
      <c r="H133" s="7" t="s">
        <v>52</v>
      </c>
    </row>
    <row r="134" spans="1:8" ht="12.75" customHeight="1">
      <c r="A134" s="7">
        <v>301384</v>
      </c>
      <c r="B134">
        <v>0</v>
      </c>
      <c r="C134" s="7" t="s">
        <v>133</v>
      </c>
      <c r="D134" s="7" t="s">
        <v>32</v>
      </c>
      <c r="E134" s="7" t="s">
        <v>33</v>
      </c>
      <c r="F134" s="8">
        <v>4</v>
      </c>
      <c r="G134" s="9">
        <v>40540</v>
      </c>
      <c r="H134" s="7" t="s">
        <v>49</v>
      </c>
    </row>
    <row r="135" spans="1:8" ht="12.75" customHeight="1">
      <c r="A135" s="7">
        <v>113347</v>
      </c>
      <c r="B135">
        <v>0</v>
      </c>
      <c r="C135" s="7" t="s">
        <v>134</v>
      </c>
      <c r="D135" s="7" t="s">
        <v>32</v>
      </c>
      <c r="E135" s="7" t="s">
        <v>33</v>
      </c>
      <c r="F135" s="8">
        <v>2</v>
      </c>
      <c r="G135" s="9">
        <v>40529</v>
      </c>
      <c r="H135" s="7" t="s">
        <v>52</v>
      </c>
    </row>
    <row r="136" spans="1:8" ht="12.75" customHeight="1">
      <c r="A136" s="7">
        <v>398541</v>
      </c>
      <c r="B136">
        <v>0</v>
      </c>
      <c r="C136" s="7" t="s">
        <v>135</v>
      </c>
      <c r="D136" s="7" t="s">
        <v>42</v>
      </c>
      <c r="E136" s="7" t="s">
        <v>33</v>
      </c>
      <c r="F136" s="8">
        <v>8</v>
      </c>
      <c r="G136" s="9">
        <v>40540</v>
      </c>
      <c r="H136" s="7" t="s">
        <v>49</v>
      </c>
    </row>
    <row r="137" spans="1:8" ht="12.75" customHeight="1">
      <c r="A137" s="7">
        <v>288928</v>
      </c>
      <c r="B137">
        <v>0</v>
      </c>
      <c r="C137" s="7" t="s">
        <v>136</v>
      </c>
      <c r="D137" s="7" t="s">
        <v>38</v>
      </c>
      <c r="E137" s="7" t="s">
        <v>33</v>
      </c>
      <c r="F137" s="8">
        <v>6</v>
      </c>
      <c r="G137" s="9">
        <v>40529</v>
      </c>
      <c r="H137" s="7" t="s">
        <v>52</v>
      </c>
    </row>
    <row r="138" spans="1:8" ht="12.75" customHeight="1">
      <c r="A138" s="7">
        <v>775167</v>
      </c>
      <c r="B138">
        <v>0</v>
      </c>
      <c r="C138" s="7" t="s">
        <v>137</v>
      </c>
      <c r="D138" s="7" t="s">
        <v>42</v>
      </c>
      <c r="E138" s="7" t="s">
        <v>33</v>
      </c>
      <c r="F138" s="8">
        <v>3</v>
      </c>
      <c r="G138" s="9">
        <v>40532</v>
      </c>
      <c r="H138" s="7" t="s">
        <v>48</v>
      </c>
    </row>
    <row r="139" spans="1:8" ht="12.75" customHeight="1">
      <c r="A139" s="7">
        <v>775167</v>
      </c>
      <c r="B139">
        <v>0</v>
      </c>
      <c r="C139" s="7" t="s">
        <v>137</v>
      </c>
      <c r="D139" s="7" t="s">
        <v>42</v>
      </c>
      <c r="E139" s="7" t="s">
        <v>33</v>
      </c>
      <c r="F139" s="8">
        <v>3</v>
      </c>
      <c r="G139" s="9">
        <v>40529</v>
      </c>
      <c r="H139" s="7" t="s">
        <v>52</v>
      </c>
    </row>
    <row r="140" spans="1:8" ht="12.75" customHeight="1">
      <c r="A140" s="7">
        <v>775444</v>
      </c>
      <c r="B140">
        <v>0</v>
      </c>
      <c r="C140" s="7" t="s">
        <v>120</v>
      </c>
      <c r="D140" s="7" t="s">
        <v>42</v>
      </c>
      <c r="E140" s="7" t="s">
        <v>33</v>
      </c>
      <c r="F140" s="8">
        <v>8</v>
      </c>
      <c r="G140" s="9">
        <v>40541</v>
      </c>
      <c r="H140" s="7" t="s">
        <v>37</v>
      </c>
    </row>
    <row r="141" spans="1:8" ht="12.75" customHeight="1">
      <c r="A141" s="7">
        <v>775167</v>
      </c>
      <c r="B141">
        <v>0</v>
      </c>
      <c r="C141" s="7" t="s">
        <v>137</v>
      </c>
      <c r="D141" s="7" t="s">
        <v>42</v>
      </c>
      <c r="E141" s="7" t="s">
        <v>33</v>
      </c>
      <c r="F141" s="8">
        <v>8</v>
      </c>
      <c r="G141" s="9">
        <v>40533</v>
      </c>
      <c r="H141" s="7" t="s">
        <v>49</v>
      </c>
    </row>
    <row r="142" spans="1:8" ht="12.75" customHeight="1">
      <c r="A142" s="7">
        <v>775167</v>
      </c>
      <c r="B142">
        <v>0</v>
      </c>
      <c r="C142" s="7" t="s">
        <v>137</v>
      </c>
      <c r="D142" s="7" t="s">
        <v>42</v>
      </c>
      <c r="E142" s="7" t="s">
        <v>33</v>
      </c>
      <c r="F142" s="8">
        <v>3</v>
      </c>
      <c r="G142" s="9">
        <v>40534</v>
      </c>
      <c r="H142" s="7" t="s">
        <v>37</v>
      </c>
    </row>
    <row r="143" spans="1:8" ht="12.75" customHeight="1">
      <c r="A143" s="7">
        <v>775167</v>
      </c>
      <c r="B143">
        <v>0</v>
      </c>
      <c r="C143" s="7" t="s">
        <v>137</v>
      </c>
      <c r="D143" s="7" t="s">
        <v>42</v>
      </c>
      <c r="E143" s="7" t="s">
        <v>33</v>
      </c>
      <c r="F143" s="8">
        <v>3</v>
      </c>
      <c r="G143" s="9">
        <v>40540</v>
      </c>
      <c r="H143" s="7" t="s">
        <v>49</v>
      </c>
    </row>
    <row r="144" spans="1:8" ht="12.75" customHeight="1">
      <c r="A144" s="7">
        <v>775167</v>
      </c>
      <c r="B144">
        <v>0</v>
      </c>
      <c r="C144" s="7" t="s">
        <v>137</v>
      </c>
      <c r="D144" s="7" t="s">
        <v>42</v>
      </c>
      <c r="E144" s="7" t="s">
        <v>33</v>
      </c>
      <c r="F144" s="8">
        <v>3</v>
      </c>
      <c r="G144" s="9">
        <v>40541</v>
      </c>
      <c r="H144" s="7" t="s">
        <v>37</v>
      </c>
    </row>
    <row r="145" spans="1:8" ht="12.75" customHeight="1">
      <c r="A145" s="7">
        <v>130559</v>
      </c>
      <c r="B145">
        <v>0</v>
      </c>
      <c r="C145" s="7" t="s">
        <v>138</v>
      </c>
      <c r="D145" s="7" t="s">
        <v>32</v>
      </c>
      <c r="E145" s="7" t="s">
        <v>33</v>
      </c>
      <c r="F145" s="8">
        <v>2</v>
      </c>
      <c r="G145" s="9">
        <v>40534</v>
      </c>
      <c r="H145" s="7" t="s">
        <v>37</v>
      </c>
    </row>
    <row r="146" spans="1:8" ht="12.75" customHeight="1">
      <c r="A146" s="7">
        <v>437881</v>
      </c>
      <c r="B146">
        <v>0</v>
      </c>
      <c r="C146" s="7" t="s">
        <v>139</v>
      </c>
      <c r="D146" s="7" t="s">
        <v>32</v>
      </c>
      <c r="E146" s="7" t="s">
        <v>33</v>
      </c>
      <c r="F146" s="8">
        <v>3.5</v>
      </c>
      <c r="G146" s="9">
        <v>40532</v>
      </c>
      <c r="H146" s="7" t="s">
        <v>48</v>
      </c>
    </row>
    <row r="147" spans="1:8" ht="12.75" customHeight="1">
      <c r="A147" s="7">
        <v>641295</v>
      </c>
      <c r="B147">
        <v>0</v>
      </c>
      <c r="C147" s="7" t="s">
        <v>140</v>
      </c>
      <c r="D147" s="7" t="s">
        <v>32</v>
      </c>
      <c r="E147" s="7" t="s">
        <v>33</v>
      </c>
      <c r="F147" s="8">
        <v>3</v>
      </c>
      <c r="G147" s="9">
        <v>40529</v>
      </c>
      <c r="H147" s="7" t="s">
        <v>52</v>
      </c>
    </row>
    <row r="148" spans="1:8" ht="12.75" customHeight="1">
      <c r="A148" s="7">
        <v>371859</v>
      </c>
      <c r="B148">
        <v>0</v>
      </c>
      <c r="C148" s="7" t="s">
        <v>141</v>
      </c>
      <c r="D148" s="7" t="s">
        <v>42</v>
      </c>
      <c r="E148" s="7" t="s">
        <v>33</v>
      </c>
      <c r="F148" s="8">
        <v>4</v>
      </c>
      <c r="G148" s="9">
        <v>40533</v>
      </c>
      <c r="H148" s="7" t="s">
        <v>49</v>
      </c>
    </row>
    <row r="149" spans="1:8" ht="12.75" customHeight="1">
      <c r="A149" s="7">
        <v>371859</v>
      </c>
      <c r="B149">
        <v>0</v>
      </c>
      <c r="C149" s="7" t="s">
        <v>141</v>
      </c>
      <c r="D149" s="7" t="s">
        <v>42</v>
      </c>
      <c r="E149" s="7" t="s">
        <v>33</v>
      </c>
      <c r="F149" s="8">
        <v>2</v>
      </c>
      <c r="G149" s="9">
        <v>40534</v>
      </c>
      <c r="H149" s="7" t="s">
        <v>37</v>
      </c>
    </row>
    <row r="150" spans="1:8" ht="12.75" customHeight="1">
      <c r="A150" s="7">
        <v>245734</v>
      </c>
      <c r="B150">
        <v>0</v>
      </c>
      <c r="C150" s="7" t="s">
        <v>142</v>
      </c>
      <c r="D150" s="7" t="s">
        <v>42</v>
      </c>
      <c r="E150" s="7" t="s">
        <v>33</v>
      </c>
      <c r="F150" s="8">
        <v>8</v>
      </c>
      <c r="G150" s="9">
        <v>40541</v>
      </c>
      <c r="H150" s="7" t="s">
        <v>37</v>
      </c>
    </row>
    <row r="151" spans="1:8" ht="12.75" customHeight="1">
      <c r="A151" s="7">
        <v>569961</v>
      </c>
      <c r="B151">
        <v>0</v>
      </c>
      <c r="C151" s="7" t="s">
        <v>143</v>
      </c>
      <c r="D151" s="7" t="s">
        <v>32</v>
      </c>
      <c r="E151" s="7" t="s">
        <v>33</v>
      </c>
      <c r="F151" s="8">
        <v>1</v>
      </c>
      <c r="G151" s="9">
        <v>40546</v>
      </c>
      <c r="H151" s="7" t="s">
        <v>48</v>
      </c>
    </row>
    <row r="152" spans="1:8" ht="12.75" customHeight="1">
      <c r="A152" s="7">
        <v>245734</v>
      </c>
      <c r="B152">
        <v>0</v>
      </c>
      <c r="C152" s="7" t="s">
        <v>142</v>
      </c>
      <c r="D152" s="7" t="s">
        <v>42</v>
      </c>
      <c r="E152" s="7" t="s">
        <v>33</v>
      </c>
      <c r="F152" s="8">
        <v>8</v>
      </c>
      <c r="G152" s="9">
        <v>40540</v>
      </c>
      <c r="H152" s="7" t="s">
        <v>49</v>
      </c>
    </row>
    <row r="153" spans="1:8" ht="12.75" customHeight="1">
      <c r="A153" s="7">
        <v>545521</v>
      </c>
      <c r="B153">
        <v>0</v>
      </c>
      <c r="C153" s="7" t="s">
        <v>119</v>
      </c>
      <c r="D153" s="7" t="s">
        <v>42</v>
      </c>
      <c r="E153" s="7" t="s">
        <v>33</v>
      </c>
      <c r="F153" s="8">
        <v>2</v>
      </c>
      <c r="G153" s="9">
        <v>40540</v>
      </c>
      <c r="H153" s="7" t="s">
        <v>49</v>
      </c>
    </row>
    <row r="154" spans="1:8" ht="12.75" customHeight="1">
      <c r="A154" s="7">
        <v>115195</v>
      </c>
      <c r="B154">
        <v>0</v>
      </c>
      <c r="C154" s="7" t="s">
        <v>118</v>
      </c>
      <c r="D154" s="7" t="s">
        <v>32</v>
      </c>
      <c r="E154" s="7" t="s">
        <v>33</v>
      </c>
      <c r="F154" s="8">
        <v>0.5</v>
      </c>
      <c r="G154" s="9">
        <v>40541</v>
      </c>
      <c r="H154" s="7" t="s">
        <v>37</v>
      </c>
    </row>
    <row r="155" spans="1:8" ht="12.75" customHeight="1">
      <c r="A155" s="7">
        <v>798649</v>
      </c>
      <c r="B155">
        <v>0</v>
      </c>
      <c r="C155" s="7" t="s">
        <v>144</v>
      </c>
      <c r="D155" s="7" t="s">
        <v>32</v>
      </c>
      <c r="E155" s="7" t="s">
        <v>33</v>
      </c>
      <c r="F155" s="8">
        <v>3.5</v>
      </c>
      <c r="G155" s="9">
        <v>40529</v>
      </c>
      <c r="H155" s="7" t="s">
        <v>52</v>
      </c>
    </row>
    <row r="156" spans="1:8" ht="12.75" customHeight="1">
      <c r="A156" s="7">
        <v>747126</v>
      </c>
      <c r="B156">
        <v>0</v>
      </c>
      <c r="C156" s="7" t="s">
        <v>145</v>
      </c>
      <c r="D156" s="7" t="s">
        <v>38</v>
      </c>
      <c r="E156" s="7" t="s">
        <v>33</v>
      </c>
      <c r="F156" s="8">
        <v>8</v>
      </c>
      <c r="G156" s="9">
        <v>40540</v>
      </c>
      <c r="H156" s="7" t="s">
        <v>49</v>
      </c>
    </row>
    <row r="157" spans="1:8" ht="12.75" customHeight="1">
      <c r="A157" s="7">
        <v>739647</v>
      </c>
      <c r="B157">
        <v>0</v>
      </c>
      <c r="C157" s="7" t="s">
        <v>146</v>
      </c>
      <c r="D157" s="7" t="s">
        <v>32</v>
      </c>
      <c r="E157" s="7" t="s">
        <v>33</v>
      </c>
      <c r="F157" s="8">
        <v>2</v>
      </c>
      <c r="G157" s="9">
        <v>40541</v>
      </c>
      <c r="H157" s="7" t="s">
        <v>37</v>
      </c>
    </row>
    <row r="158" spans="1:8" ht="12.75" customHeight="1">
      <c r="A158" s="7">
        <v>292456</v>
      </c>
      <c r="B158">
        <v>0</v>
      </c>
      <c r="C158" s="7" t="s">
        <v>147</v>
      </c>
      <c r="D158" s="7" t="s">
        <v>38</v>
      </c>
      <c r="E158" s="7" t="s">
        <v>33</v>
      </c>
      <c r="F158" s="8">
        <v>0.5</v>
      </c>
      <c r="G158" s="9">
        <v>40534</v>
      </c>
      <c r="H158" s="7" t="s">
        <v>37</v>
      </c>
    </row>
    <row r="159" spans="1:8" ht="12.75" customHeight="1">
      <c r="A159" s="7">
        <v>425584</v>
      </c>
      <c r="B159">
        <v>0</v>
      </c>
      <c r="C159" s="7" t="s">
        <v>148</v>
      </c>
      <c r="D159" s="7" t="s">
        <v>32</v>
      </c>
      <c r="E159" s="7" t="s">
        <v>33</v>
      </c>
      <c r="F159" s="8">
        <v>8</v>
      </c>
      <c r="G159" s="9">
        <v>40540</v>
      </c>
      <c r="H159" s="7" t="s">
        <v>49</v>
      </c>
    </row>
    <row r="160" spans="1:8" ht="12.75" customHeight="1">
      <c r="A160" s="7">
        <v>872321</v>
      </c>
      <c r="B160">
        <v>0</v>
      </c>
      <c r="C160" s="7" t="s">
        <v>149</v>
      </c>
      <c r="D160" s="7" t="s">
        <v>32</v>
      </c>
      <c r="E160" s="7" t="s">
        <v>33</v>
      </c>
      <c r="F160" s="8">
        <v>1.75</v>
      </c>
      <c r="G160" s="9">
        <v>40534</v>
      </c>
      <c r="H160" s="7" t="s">
        <v>37</v>
      </c>
    </row>
    <row r="161" spans="1:8" ht="12.75" customHeight="1">
      <c r="A161" s="7">
        <v>261528</v>
      </c>
      <c r="B161">
        <v>0</v>
      </c>
      <c r="C161" s="7" t="s">
        <v>47</v>
      </c>
      <c r="D161" s="7" t="s">
        <v>42</v>
      </c>
      <c r="E161" s="7" t="s">
        <v>33</v>
      </c>
      <c r="F161" s="8">
        <v>8</v>
      </c>
      <c r="G161" s="9">
        <v>40529</v>
      </c>
      <c r="H161" s="7" t="s">
        <v>52</v>
      </c>
    </row>
    <row r="162" spans="1:8" ht="12.75" customHeight="1">
      <c r="A162" s="7">
        <v>280348</v>
      </c>
      <c r="B162">
        <v>0</v>
      </c>
      <c r="C162" s="7" t="s">
        <v>150</v>
      </c>
      <c r="D162" s="7" t="s">
        <v>42</v>
      </c>
      <c r="E162" s="7" t="s">
        <v>33</v>
      </c>
      <c r="F162" s="8">
        <v>8</v>
      </c>
      <c r="G162" s="9">
        <v>40533</v>
      </c>
      <c r="H162" s="7" t="s">
        <v>49</v>
      </c>
    </row>
    <row r="163" spans="1:8" ht="12.75" customHeight="1">
      <c r="A163" s="7">
        <v>515931</v>
      </c>
      <c r="B163">
        <v>0</v>
      </c>
      <c r="C163" s="7" t="s">
        <v>151</v>
      </c>
      <c r="D163" s="7" t="s">
        <v>42</v>
      </c>
      <c r="E163" s="7" t="s">
        <v>33</v>
      </c>
      <c r="F163" s="8">
        <v>8</v>
      </c>
      <c r="G163" s="9">
        <v>40535</v>
      </c>
      <c r="H163" s="7" t="s">
        <v>34</v>
      </c>
    </row>
    <row r="164" spans="1:8" ht="12.75" customHeight="1">
      <c r="A164" s="7">
        <v>515931</v>
      </c>
      <c r="B164">
        <v>0</v>
      </c>
      <c r="C164" s="7" t="s">
        <v>151</v>
      </c>
      <c r="D164" s="7" t="s">
        <v>42</v>
      </c>
      <c r="E164" s="7" t="s">
        <v>33</v>
      </c>
      <c r="F164" s="8">
        <v>8</v>
      </c>
      <c r="G164" s="9">
        <v>40540</v>
      </c>
      <c r="H164" s="7" t="s">
        <v>49</v>
      </c>
    </row>
    <row r="165" spans="1:8" ht="12.75" customHeight="1">
      <c r="A165" s="7">
        <v>515931</v>
      </c>
      <c r="B165">
        <v>0</v>
      </c>
      <c r="C165" s="7" t="s">
        <v>151</v>
      </c>
      <c r="D165" s="7" t="s">
        <v>42</v>
      </c>
      <c r="E165" s="7" t="s">
        <v>33</v>
      </c>
      <c r="F165" s="8">
        <v>8</v>
      </c>
      <c r="G165" s="9">
        <v>40541</v>
      </c>
      <c r="H165" s="7" t="s">
        <v>37</v>
      </c>
    </row>
    <row r="166" spans="1:8" ht="12.75" customHeight="1">
      <c r="A166" s="7">
        <v>515931</v>
      </c>
      <c r="B166">
        <v>0</v>
      </c>
      <c r="C166" s="7" t="s">
        <v>151</v>
      </c>
      <c r="D166" s="7" t="s">
        <v>42</v>
      </c>
      <c r="E166" s="7" t="s">
        <v>33</v>
      </c>
      <c r="F166" s="8">
        <v>8</v>
      </c>
      <c r="G166" s="9">
        <v>40542</v>
      </c>
      <c r="H166" s="7" t="s">
        <v>34</v>
      </c>
    </row>
    <row r="167" spans="1:8" ht="12.75" customHeight="1">
      <c r="A167" s="7">
        <v>170542</v>
      </c>
      <c r="B167">
        <v>0</v>
      </c>
      <c r="C167" s="7" t="s">
        <v>152</v>
      </c>
      <c r="D167" s="7" t="s">
        <v>42</v>
      </c>
      <c r="E167" s="7" t="s">
        <v>33</v>
      </c>
      <c r="F167" s="8">
        <v>8</v>
      </c>
      <c r="G167" s="9">
        <v>40533</v>
      </c>
      <c r="H167" s="7" t="s">
        <v>49</v>
      </c>
    </row>
    <row r="168" spans="1:8" ht="12.75" customHeight="1">
      <c r="A168" s="7">
        <v>170542</v>
      </c>
      <c r="B168">
        <v>0</v>
      </c>
      <c r="C168" s="7" t="s">
        <v>152</v>
      </c>
      <c r="D168" s="7" t="s">
        <v>42</v>
      </c>
      <c r="E168" s="7" t="s">
        <v>33</v>
      </c>
      <c r="F168" s="8">
        <v>4</v>
      </c>
      <c r="G168" s="9">
        <v>40532</v>
      </c>
      <c r="H168" s="7" t="s">
        <v>48</v>
      </c>
    </row>
    <row r="169" spans="1:8" ht="12.75" customHeight="1">
      <c r="A169" s="7">
        <v>99193</v>
      </c>
      <c r="B169">
        <v>0</v>
      </c>
      <c r="C169" s="7" t="s">
        <v>124</v>
      </c>
      <c r="D169" s="7" t="s">
        <v>42</v>
      </c>
      <c r="E169" s="7" t="s">
        <v>33</v>
      </c>
      <c r="F169" s="8">
        <v>6.75</v>
      </c>
      <c r="G169" s="9">
        <v>40529</v>
      </c>
      <c r="H169" s="7" t="s">
        <v>52</v>
      </c>
    </row>
    <row r="170" spans="1:8" ht="12.75" customHeight="1">
      <c r="A170" s="7">
        <v>682726</v>
      </c>
      <c r="B170">
        <v>0</v>
      </c>
      <c r="C170" s="7" t="s">
        <v>50</v>
      </c>
      <c r="D170" s="7" t="s">
        <v>32</v>
      </c>
      <c r="E170" s="7" t="s">
        <v>33</v>
      </c>
      <c r="F170" s="8">
        <v>2</v>
      </c>
      <c r="G170" s="9">
        <v>40541</v>
      </c>
      <c r="H170" s="7" t="s">
        <v>37</v>
      </c>
    </row>
    <row r="171" spans="1:8" ht="12.75" customHeight="1">
      <c r="A171" s="7">
        <v>689074</v>
      </c>
      <c r="B171">
        <v>0</v>
      </c>
      <c r="C171" s="7" t="s">
        <v>99</v>
      </c>
      <c r="D171" s="7" t="s">
        <v>42</v>
      </c>
      <c r="E171" s="7" t="s">
        <v>33</v>
      </c>
      <c r="F171" s="8">
        <v>-8</v>
      </c>
      <c r="G171" s="9">
        <v>40540</v>
      </c>
      <c r="H171" s="7" t="s">
        <v>49</v>
      </c>
    </row>
    <row r="172" spans="1:8" ht="12.75" customHeight="1">
      <c r="A172" s="7">
        <v>689074</v>
      </c>
      <c r="B172">
        <v>0</v>
      </c>
      <c r="C172" s="7" t="s">
        <v>99</v>
      </c>
      <c r="D172" s="7" t="s">
        <v>42</v>
      </c>
      <c r="E172" s="7" t="s">
        <v>33</v>
      </c>
      <c r="F172" s="8">
        <v>8</v>
      </c>
      <c r="G172" s="9">
        <v>40540</v>
      </c>
      <c r="H172" s="7" t="s">
        <v>49</v>
      </c>
    </row>
    <row r="173" spans="1:8" ht="12.75" customHeight="1">
      <c r="A173" s="7">
        <v>689074</v>
      </c>
      <c r="B173">
        <v>0</v>
      </c>
      <c r="C173" s="7" t="s">
        <v>99</v>
      </c>
      <c r="D173" s="7" t="s">
        <v>42</v>
      </c>
      <c r="E173" s="7" t="s">
        <v>33</v>
      </c>
      <c r="F173" s="8">
        <v>-8</v>
      </c>
      <c r="G173" s="9">
        <v>40541</v>
      </c>
      <c r="H173" s="7" t="s">
        <v>37</v>
      </c>
    </row>
    <row r="174" spans="1:8" ht="12.75" customHeight="1">
      <c r="A174" s="7">
        <v>689074</v>
      </c>
      <c r="B174">
        <v>0</v>
      </c>
      <c r="C174" s="7" t="s">
        <v>99</v>
      </c>
      <c r="D174" s="7" t="s">
        <v>42</v>
      </c>
      <c r="E174" s="7" t="s">
        <v>33</v>
      </c>
      <c r="F174" s="8">
        <v>8</v>
      </c>
      <c r="G174" s="9">
        <v>40541</v>
      </c>
      <c r="H174" s="7" t="s">
        <v>37</v>
      </c>
    </row>
    <row r="175" spans="1:8" ht="12.75" customHeight="1">
      <c r="A175" s="7">
        <v>689074</v>
      </c>
      <c r="B175">
        <v>0</v>
      </c>
      <c r="C175" s="7" t="s">
        <v>99</v>
      </c>
      <c r="D175" s="7" t="s">
        <v>42</v>
      </c>
      <c r="E175" s="7" t="s">
        <v>33</v>
      </c>
      <c r="F175" s="8">
        <v>-8</v>
      </c>
      <c r="G175" s="9">
        <v>40542</v>
      </c>
      <c r="H175" s="7" t="s">
        <v>34</v>
      </c>
    </row>
    <row r="176" spans="1:8" ht="12.75" customHeight="1">
      <c r="A176" s="7">
        <v>689074</v>
      </c>
      <c r="B176">
        <v>0</v>
      </c>
      <c r="C176" s="7" t="s">
        <v>99</v>
      </c>
      <c r="D176" s="7" t="s">
        <v>42</v>
      </c>
      <c r="E176" s="7" t="s">
        <v>33</v>
      </c>
      <c r="F176" s="8">
        <v>8</v>
      </c>
      <c r="G176" s="9">
        <v>40542</v>
      </c>
      <c r="H176" s="7" t="s">
        <v>34</v>
      </c>
    </row>
    <row r="177" spans="1:8" ht="12.75" customHeight="1">
      <c r="A177" s="7">
        <v>609303</v>
      </c>
      <c r="B177">
        <v>1</v>
      </c>
      <c r="C177" s="7" t="s">
        <v>100</v>
      </c>
      <c r="D177" s="7" t="s">
        <v>42</v>
      </c>
      <c r="E177" s="7" t="s">
        <v>33</v>
      </c>
      <c r="F177" s="8">
        <v>8</v>
      </c>
      <c r="G177" s="9">
        <v>40540</v>
      </c>
      <c r="H177" s="7" t="s">
        <v>49</v>
      </c>
    </row>
    <row r="178" spans="1:8" ht="12.75" customHeight="1">
      <c r="A178" s="7">
        <v>609303</v>
      </c>
      <c r="B178">
        <v>1</v>
      </c>
      <c r="C178" s="7" t="s">
        <v>100</v>
      </c>
      <c r="D178" s="7" t="s">
        <v>42</v>
      </c>
      <c r="E178" s="7" t="s">
        <v>33</v>
      </c>
      <c r="F178" s="8">
        <v>-8</v>
      </c>
      <c r="G178" s="9">
        <v>40540</v>
      </c>
      <c r="H178" s="7" t="s">
        <v>49</v>
      </c>
    </row>
    <row r="179" spans="1:8" ht="12.75" customHeight="1">
      <c r="A179" s="7">
        <v>112940</v>
      </c>
      <c r="B179">
        <v>0</v>
      </c>
      <c r="C179" s="7" t="s">
        <v>153</v>
      </c>
      <c r="D179" s="7" t="s">
        <v>42</v>
      </c>
      <c r="E179" s="7" t="s">
        <v>33</v>
      </c>
      <c r="F179" s="8">
        <v>8</v>
      </c>
      <c r="G179" s="9">
        <v>40548</v>
      </c>
      <c r="H179" s="7" t="s">
        <v>37</v>
      </c>
    </row>
    <row r="180" spans="1:8" ht="12.75" customHeight="1">
      <c r="A180" s="7">
        <v>112940</v>
      </c>
      <c r="B180">
        <v>0</v>
      </c>
      <c r="C180" s="7" t="s">
        <v>153</v>
      </c>
      <c r="D180" s="7" t="s">
        <v>32</v>
      </c>
      <c r="E180" s="7" t="s">
        <v>33</v>
      </c>
      <c r="F180" s="8">
        <v>3.5</v>
      </c>
      <c r="G180" s="9">
        <v>40550</v>
      </c>
      <c r="H180" s="7" t="s">
        <v>52</v>
      </c>
    </row>
    <row r="181" spans="1:8" ht="12.75" customHeight="1">
      <c r="A181" s="7">
        <v>389844</v>
      </c>
      <c r="B181">
        <v>0</v>
      </c>
      <c r="C181" s="7" t="s">
        <v>81</v>
      </c>
      <c r="D181" s="7" t="s">
        <v>32</v>
      </c>
      <c r="E181" s="7" t="s">
        <v>33</v>
      </c>
      <c r="F181" s="8">
        <v>1.75</v>
      </c>
      <c r="G181" s="9">
        <v>40555</v>
      </c>
      <c r="H181" s="7" t="s">
        <v>37</v>
      </c>
    </row>
    <row r="182" spans="1:8" ht="12.75" customHeight="1">
      <c r="A182" s="7">
        <v>389844</v>
      </c>
      <c r="B182">
        <v>0</v>
      </c>
      <c r="C182" s="7" t="s">
        <v>81</v>
      </c>
      <c r="D182" s="7" t="s">
        <v>32</v>
      </c>
      <c r="E182" s="7" t="s">
        <v>33</v>
      </c>
      <c r="F182" s="8">
        <v>2</v>
      </c>
      <c r="G182" s="9">
        <v>40557</v>
      </c>
      <c r="H182" s="7" t="s">
        <v>52</v>
      </c>
    </row>
    <row r="183" spans="1:8" ht="12.75" customHeight="1">
      <c r="A183" s="7">
        <v>389844</v>
      </c>
      <c r="B183">
        <v>0</v>
      </c>
      <c r="C183" s="7" t="s">
        <v>81</v>
      </c>
      <c r="D183" s="7" t="s">
        <v>32</v>
      </c>
      <c r="E183" s="7" t="s">
        <v>33</v>
      </c>
      <c r="F183" s="8">
        <v>2</v>
      </c>
      <c r="G183" s="9">
        <v>40548</v>
      </c>
      <c r="H183" s="7" t="s">
        <v>37</v>
      </c>
    </row>
    <row r="184" spans="1:8" ht="12.75" customHeight="1">
      <c r="A184" s="7">
        <v>112940</v>
      </c>
      <c r="B184">
        <v>0</v>
      </c>
      <c r="C184" s="7" t="s">
        <v>153</v>
      </c>
      <c r="D184" s="7" t="s">
        <v>42</v>
      </c>
      <c r="E184" s="7" t="s">
        <v>33</v>
      </c>
      <c r="F184" s="8">
        <v>8</v>
      </c>
      <c r="G184" s="9">
        <v>40546</v>
      </c>
      <c r="H184" s="7" t="s">
        <v>48</v>
      </c>
    </row>
    <row r="185" spans="1:8" ht="12.75" customHeight="1">
      <c r="A185" s="7">
        <v>112940</v>
      </c>
      <c r="B185">
        <v>0</v>
      </c>
      <c r="C185" s="7" t="s">
        <v>153</v>
      </c>
      <c r="D185" s="7" t="s">
        <v>42</v>
      </c>
      <c r="E185" s="7" t="s">
        <v>33</v>
      </c>
      <c r="F185" s="8">
        <v>8</v>
      </c>
      <c r="G185" s="9">
        <v>40547</v>
      </c>
      <c r="H185" s="7" t="s">
        <v>49</v>
      </c>
    </row>
    <row r="186" spans="1:8" ht="12.75" customHeight="1">
      <c r="A186" s="7">
        <v>402483</v>
      </c>
      <c r="B186">
        <v>0</v>
      </c>
      <c r="C186" s="7" t="s">
        <v>154</v>
      </c>
      <c r="D186" s="7" t="s">
        <v>32</v>
      </c>
      <c r="E186" s="7" t="s">
        <v>33</v>
      </c>
      <c r="F186" s="8">
        <v>1</v>
      </c>
      <c r="G186" s="9">
        <v>40546</v>
      </c>
      <c r="H186" s="7" t="s">
        <v>48</v>
      </c>
    </row>
    <row r="187" spans="1:8" ht="12.75" customHeight="1">
      <c r="A187" s="7">
        <v>625135</v>
      </c>
      <c r="B187">
        <v>0</v>
      </c>
      <c r="C187" s="7" t="s">
        <v>76</v>
      </c>
      <c r="D187" s="7" t="s">
        <v>32</v>
      </c>
      <c r="E187" s="7" t="s">
        <v>33</v>
      </c>
      <c r="F187" s="8">
        <v>8</v>
      </c>
      <c r="G187" s="9">
        <v>40548</v>
      </c>
      <c r="H187" s="7" t="s">
        <v>37</v>
      </c>
    </row>
    <row r="188" spans="1:8" ht="12.75" customHeight="1">
      <c r="A188" s="7">
        <v>5435</v>
      </c>
      <c r="B188">
        <v>0</v>
      </c>
      <c r="C188" s="7" t="s">
        <v>155</v>
      </c>
      <c r="D188" s="7" t="s">
        <v>38</v>
      </c>
      <c r="E188" s="7" t="s">
        <v>33</v>
      </c>
      <c r="F188" s="8">
        <v>2.5</v>
      </c>
      <c r="G188" s="9">
        <v>40549</v>
      </c>
      <c r="H188" s="7" t="s">
        <v>34</v>
      </c>
    </row>
    <row r="189" spans="1:8" ht="12.75" customHeight="1">
      <c r="A189" s="7">
        <v>798649</v>
      </c>
      <c r="B189">
        <v>0</v>
      </c>
      <c r="C189" s="7" t="s">
        <v>144</v>
      </c>
      <c r="D189" s="7" t="s">
        <v>38</v>
      </c>
      <c r="E189" s="7" t="s">
        <v>33</v>
      </c>
      <c r="F189" s="8">
        <v>1.5</v>
      </c>
      <c r="G189" s="9">
        <v>40549</v>
      </c>
      <c r="H189" s="7" t="s">
        <v>34</v>
      </c>
    </row>
    <row r="190" spans="1:8" ht="12.75" customHeight="1">
      <c r="A190" s="7">
        <v>113347</v>
      </c>
      <c r="B190">
        <v>0</v>
      </c>
      <c r="C190" s="7" t="s">
        <v>134</v>
      </c>
      <c r="D190" s="7" t="s">
        <v>38</v>
      </c>
      <c r="E190" s="7" t="s">
        <v>33</v>
      </c>
      <c r="F190" s="8">
        <v>1.5</v>
      </c>
      <c r="G190" s="9">
        <v>40548</v>
      </c>
      <c r="H190" s="7" t="s">
        <v>37</v>
      </c>
    </row>
    <row r="191" spans="1:8" ht="12.75" customHeight="1">
      <c r="A191" s="7">
        <v>596745</v>
      </c>
      <c r="B191">
        <v>0</v>
      </c>
      <c r="C191" s="7" t="s">
        <v>156</v>
      </c>
      <c r="D191" s="7" t="s">
        <v>42</v>
      </c>
      <c r="E191" s="7" t="s">
        <v>33</v>
      </c>
      <c r="F191" s="8">
        <v>8</v>
      </c>
      <c r="G191" s="9">
        <v>40548</v>
      </c>
      <c r="H191" s="7" t="s">
        <v>37</v>
      </c>
    </row>
    <row r="192" spans="1:8" ht="12.75" customHeight="1">
      <c r="A192" s="7">
        <v>596745</v>
      </c>
      <c r="B192">
        <v>0</v>
      </c>
      <c r="C192" s="7" t="s">
        <v>156</v>
      </c>
      <c r="D192" s="7" t="s">
        <v>32</v>
      </c>
      <c r="E192" s="7" t="s">
        <v>33</v>
      </c>
      <c r="F192" s="8">
        <v>0.75</v>
      </c>
      <c r="G192" s="9">
        <v>40556</v>
      </c>
      <c r="H192" s="7" t="s">
        <v>34</v>
      </c>
    </row>
    <row r="193" spans="1:8" ht="12.75" customHeight="1">
      <c r="A193" s="7">
        <v>846953</v>
      </c>
      <c r="B193">
        <v>0</v>
      </c>
      <c r="C193" s="7" t="s">
        <v>157</v>
      </c>
      <c r="D193" s="7" t="s">
        <v>42</v>
      </c>
      <c r="E193" s="7" t="s">
        <v>33</v>
      </c>
      <c r="F193" s="8">
        <v>3</v>
      </c>
      <c r="G193" s="9">
        <v>40553</v>
      </c>
      <c r="H193" s="7" t="s">
        <v>48</v>
      </c>
    </row>
    <row r="194" spans="1:8" ht="12.75" customHeight="1">
      <c r="A194" s="7">
        <v>138199</v>
      </c>
      <c r="B194">
        <v>0</v>
      </c>
      <c r="C194" s="7" t="s">
        <v>158</v>
      </c>
      <c r="D194" s="7" t="s">
        <v>38</v>
      </c>
      <c r="E194" s="7" t="s">
        <v>33</v>
      </c>
      <c r="F194" s="8">
        <v>8</v>
      </c>
      <c r="G194" s="9">
        <v>40546</v>
      </c>
      <c r="H194" s="7" t="s">
        <v>48</v>
      </c>
    </row>
    <row r="195" spans="1:8" ht="12.75" customHeight="1">
      <c r="A195" s="7">
        <v>138199</v>
      </c>
      <c r="B195">
        <v>0</v>
      </c>
      <c r="C195" s="7" t="s">
        <v>158</v>
      </c>
      <c r="D195" s="7" t="s">
        <v>32</v>
      </c>
      <c r="E195" s="7" t="s">
        <v>33</v>
      </c>
      <c r="F195" s="8">
        <v>1</v>
      </c>
      <c r="G195" s="9">
        <v>40549</v>
      </c>
      <c r="H195" s="7" t="s">
        <v>34</v>
      </c>
    </row>
    <row r="196" spans="1:8" ht="12.75" customHeight="1">
      <c r="A196" s="7">
        <v>138199</v>
      </c>
      <c r="B196">
        <v>0</v>
      </c>
      <c r="C196" s="7" t="s">
        <v>158</v>
      </c>
      <c r="D196" s="7" t="s">
        <v>32</v>
      </c>
      <c r="E196" s="7" t="s">
        <v>33</v>
      </c>
      <c r="F196" s="8">
        <v>0.75</v>
      </c>
      <c r="G196" s="9">
        <v>40553</v>
      </c>
      <c r="H196" s="7" t="s">
        <v>48</v>
      </c>
    </row>
    <row r="197" spans="1:8" ht="12.75" customHeight="1">
      <c r="A197" s="7">
        <v>747126</v>
      </c>
      <c r="B197">
        <v>0</v>
      </c>
      <c r="C197" s="7" t="s">
        <v>145</v>
      </c>
      <c r="D197" s="7" t="s">
        <v>32</v>
      </c>
      <c r="E197" s="7" t="s">
        <v>33</v>
      </c>
      <c r="F197" s="8">
        <v>2</v>
      </c>
      <c r="G197" s="9">
        <v>40554</v>
      </c>
      <c r="H197" s="7" t="s">
        <v>49</v>
      </c>
    </row>
    <row r="198" spans="1:8" ht="12.75" customHeight="1">
      <c r="A198" s="7">
        <v>375792</v>
      </c>
      <c r="B198">
        <v>0</v>
      </c>
      <c r="C198" s="7" t="s">
        <v>79</v>
      </c>
      <c r="D198" s="7" t="s">
        <v>32</v>
      </c>
      <c r="E198" s="7" t="s">
        <v>33</v>
      </c>
      <c r="F198" s="8">
        <v>2</v>
      </c>
      <c r="G198" s="9">
        <v>40550</v>
      </c>
      <c r="H198" s="7" t="s">
        <v>52</v>
      </c>
    </row>
    <row r="199" spans="1:8" ht="12.75" customHeight="1">
      <c r="A199" s="7">
        <v>471981</v>
      </c>
      <c r="B199">
        <v>0</v>
      </c>
      <c r="C199" s="7" t="s">
        <v>159</v>
      </c>
      <c r="D199" s="7" t="s">
        <v>32</v>
      </c>
      <c r="E199" s="7" t="s">
        <v>33</v>
      </c>
      <c r="F199" s="8">
        <v>3.5</v>
      </c>
      <c r="G199" s="9">
        <v>40553</v>
      </c>
      <c r="H199" s="7" t="s">
        <v>48</v>
      </c>
    </row>
    <row r="200" spans="1:8" ht="12.75" customHeight="1">
      <c r="A200" s="7">
        <v>942722</v>
      </c>
      <c r="B200">
        <v>0</v>
      </c>
      <c r="C200" s="7" t="s">
        <v>94</v>
      </c>
      <c r="D200" s="7" t="s">
        <v>42</v>
      </c>
      <c r="E200" s="7" t="s">
        <v>33</v>
      </c>
      <c r="F200" s="8">
        <v>8</v>
      </c>
      <c r="G200" s="9">
        <v>40546</v>
      </c>
      <c r="H200" s="7" t="s">
        <v>48</v>
      </c>
    </row>
    <row r="201" spans="1:8" ht="12.75" customHeight="1">
      <c r="A201" s="7">
        <v>942722</v>
      </c>
      <c r="B201">
        <v>0</v>
      </c>
      <c r="C201" s="7" t="s">
        <v>94</v>
      </c>
      <c r="D201" s="7" t="s">
        <v>42</v>
      </c>
      <c r="E201" s="7" t="s">
        <v>33</v>
      </c>
      <c r="F201" s="8">
        <v>8</v>
      </c>
      <c r="G201" s="9">
        <v>40547</v>
      </c>
      <c r="H201" s="7" t="s">
        <v>49</v>
      </c>
    </row>
    <row r="202" spans="1:8" ht="12.75" customHeight="1">
      <c r="A202" s="7">
        <v>942722</v>
      </c>
      <c r="B202">
        <v>0</v>
      </c>
      <c r="C202" s="7" t="s">
        <v>94</v>
      </c>
      <c r="D202" s="7" t="s">
        <v>42</v>
      </c>
      <c r="E202" s="7" t="s">
        <v>33</v>
      </c>
      <c r="F202" s="8">
        <v>8</v>
      </c>
      <c r="G202" s="9">
        <v>40548</v>
      </c>
      <c r="H202" s="7" t="s">
        <v>37</v>
      </c>
    </row>
    <row r="203" spans="1:8" ht="12.75" customHeight="1">
      <c r="A203" s="7">
        <v>942722</v>
      </c>
      <c r="B203">
        <v>0</v>
      </c>
      <c r="C203" s="7" t="s">
        <v>94</v>
      </c>
      <c r="D203" s="7" t="s">
        <v>42</v>
      </c>
      <c r="E203" s="7" t="s">
        <v>33</v>
      </c>
      <c r="F203" s="8">
        <v>8</v>
      </c>
      <c r="G203" s="9">
        <v>40549</v>
      </c>
      <c r="H203" s="7" t="s">
        <v>34</v>
      </c>
    </row>
    <row r="204" spans="1:8" ht="12.75" customHeight="1">
      <c r="A204" s="7">
        <v>942722</v>
      </c>
      <c r="B204">
        <v>0</v>
      </c>
      <c r="C204" s="7" t="s">
        <v>94</v>
      </c>
      <c r="D204" s="7" t="s">
        <v>42</v>
      </c>
      <c r="E204" s="7" t="s">
        <v>33</v>
      </c>
      <c r="F204" s="8">
        <v>8</v>
      </c>
      <c r="G204" s="9">
        <v>40550</v>
      </c>
      <c r="H204" s="7" t="s">
        <v>52</v>
      </c>
    </row>
    <row r="205" spans="1:8" ht="12.75" customHeight="1">
      <c r="A205" s="7">
        <v>544430</v>
      </c>
      <c r="B205">
        <v>0</v>
      </c>
      <c r="C205" s="7" t="s">
        <v>160</v>
      </c>
      <c r="D205" s="7" t="s">
        <v>42</v>
      </c>
      <c r="E205" s="7" t="s">
        <v>33</v>
      </c>
      <c r="F205" s="8">
        <v>1.5</v>
      </c>
      <c r="G205" s="9">
        <v>40553</v>
      </c>
      <c r="H205" s="7" t="s">
        <v>48</v>
      </c>
    </row>
    <row r="206" spans="1:8" ht="12.75" customHeight="1">
      <c r="A206" s="7">
        <v>904174</v>
      </c>
      <c r="B206">
        <v>0</v>
      </c>
      <c r="C206" s="7" t="s">
        <v>43</v>
      </c>
      <c r="D206" s="7" t="s">
        <v>32</v>
      </c>
      <c r="E206" s="7" t="s">
        <v>33</v>
      </c>
      <c r="F206" s="8">
        <v>4</v>
      </c>
      <c r="G206" s="9">
        <v>40547</v>
      </c>
      <c r="H206" s="7" t="s">
        <v>49</v>
      </c>
    </row>
    <row r="207" spans="1:8" ht="12.75" customHeight="1">
      <c r="A207" s="7">
        <v>904174</v>
      </c>
      <c r="B207">
        <v>0</v>
      </c>
      <c r="C207" s="7" t="s">
        <v>43</v>
      </c>
      <c r="D207" s="7" t="s">
        <v>32</v>
      </c>
      <c r="E207" s="7" t="s">
        <v>33</v>
      </c>
      <c r="F207" s="8">
        <v>4</v>
      </c>
      <c r="G207" s="9">
        <v>40554</v>
      </c>
      <c r="H207" s="7" t="s">
        <v>49</v>
      </c>
    </row>
    <row r="208" spans="1:8" ht="12.75" customHeight="1">
      <c r="A208" s="7">
        <v>268234</v>
      </c>
      <c r="B208">
        <v>0</v>
      </c>
      <c r="C208" s="7" t="s">
        <v>51</v>
      </c>
      <c r="D208" s="7" t="s">
        <v>32</v>
      </c>
      <c r="E208" s="7" t="s">
        <v>33</v>
      </c>
      <c r="F208" s="8">
        <v>1.5</v>
      </c>
      <c r="G208" s="9">
        <v>40549</v>
      </c>
      <c r="H208" s="7" t="s">
        <v>34</v>
      </c>
    </row>
    <row r="209" spans="1:8" ht="12.75" customHeight="1">
      <c r="A209" s="7">
        <v>66388</v>
      </c>
      <c r="B209">
        <v>0</v>
      </c>
      <c r="C209" s="7" t="s">
        <v>161</v>
      </c>
      <c r="D209" s="7" t="s">
        <v>42</v>
      </c>
      <c r="E209" s="7" t="s">
        <v>33</v>
      </c>
      <c r="F209" s="8">
        <v>8</v>
      </c>
      <c r="G209" s="9">
        <v>40550</v>
      </c>
      <c r="H209" s="7" t="s">
        <v>52</v>
      </c>
    </row>
    <row r="210" spans="1:8" ht="12.75" customHeight="1">
      <c r="A210" s="7">
        <v>209328</v>
      </c>
      <c r="B210">
        <v>0</v>
      </c>
      <c r="C210" s="7" t="s">
        <v>162</v>
      </c>
      <c r="D210" s="7" t="s">
        <v>32</v>
      </c>
      <c r="E210" s="7" t="s">
        <v>33</v>
      </c>
      <c r="F210" s="8">
        <v>1.75</v>
      </c>
      <c r="G210" s="9">
        <v>40546</v>
      </c>
      <c r="H210" s="7" t="s">
        <v>48</v>
      </c>
    </row>
    <row r="211" spans="1:8" ht="12.75" customHeight="1">
      <c r="A211" s="7">
        <v>27178</v>
      </c>
      <c r="B211">
        <v>0</v>
      </c>
      <c r="C211" s="7" t="s">
        <v>163</v>
      </c>
      <c r="D211" s="7" t="s">
        <v>32</v>
      </c>
      <c r="E211" s="7" t="s">
        <v>33</v>
      </c>
      <c r="F211" s="8">
        <v>8</v>
      </c>
      <c r="G211" s="9">
        <v>40554</v>
      </c>
      <c r="H211" s="7" t="s">
        <v>49</v>
      </c>
    </row>
    <row r="212" spans="1:8" ht="12.75" customHeight="1">
      <c r="A212" s="7">
        <v>129044</v>
      </c>
      <c r="B212">
        <v>0</v>
      </c>
      <c r="C212" s="7" t="s">
        <v>164</v>
      </c>
      <c r="D212" s="7" t="s">
        <v>32</v>
      </c>
      <c r="E212" s="7" t="s">
        <v>33</v>
      </c>
      <c r="F212" s="8">
        <v>1</v>
      </c>
      <c r="G212" s="9">
        <v>40554</v>
      </c>
      <c r="H212" s="7" t="s">
        <v>49</v>
      </c>
    </row>
    <row r="213" spans="1:8" ht="12.75" customHeight="1">
      <c r="A213" s="7">
        <v>560101</v>
      </c>
      <c r="B213">
        <v>0</v>
      </c>
      <c r="C213" s="7" t="s">
        <v>165</v>
      </c>
      <c r="D213" s="7" t="s">
        <v>32</v>
      </c>
      <c r="E213" s="7" t="s">
        <v>33</v>
      </c>
      <c r="F213" s="8">
        <v>1.5</v>
      </c>
      <c r="G213" s="9">
        <v>40549</v>
      </c>
      <c r="H213" s="7" t="s">
        <v>34</v>
      </c>
    </row>
    <row r="214" spans="1:8" ht="12.75" customHeight="1">
      <c r="A214" s="7">
        <v>162126</v>
      </c>
      <c r="B214">
        <v>0</v>
      </c>
      <c r="C214" s="7" t="s">
        <v>86</v>
      </c>
      <c r="D214" s="7" t="s">
        <v>32</v>
      </c>
      <c r="E214" s="7" t="s">
        <v>33</v>
      </c>
      <c r="F214" s="8">
        <v>3</v>
      </c>
      <c r="G214" s="9">
        <v>40549</v>
      </c>
      <c r="H214" s="7" t="s">
        <v>34</v>
      </c>
    </row>
    <row r="215" spans="1:8" ht="12.75" customHeight="1">
      <c r="A215" s="7">
        <v>694606</v>
      </c>
      <c r="B215">
        <v>0</v>
      </c>
      <c r="C215" s="7" t="s">
        <v>93</v>
      </c>
      <c r="D215" s="7" t="s">
        <v>32</v>
      </c>
      <c r="E215" s="7" t="s">
        <v>33</v>
      </c>
      <c r="F215" s="8">
        <v>2</v>
      </c>
      <c r="G215" s="9">
        <v>40547</v>
      </c>
      <c r="H215" s="7" t="s">
        <v>49</v>
      </c>
    </row>
    <row r="216" spans="1:8" ht="12.75" customHeight="1">
      <c r="A216" s="7">
        <v>968003</v>
      </c>
      <c r="B216">
        <v>0</v>
      </c>
      <c r="C216" s="7" t="s">
        <v>166</v>
      </c>
      <c r="D216" s="7" t="s">
        <v>32</v>
      </c>
      <c r="E216" s="7" t="s">
        <v>33</v>
      </c>
      <c r="F216" s="8">
        <v>3</v>
      </c>
      <c r="G216" s="9">
        <v>40555</v>
      </c>
      <c r="H216" s="7" t="s">
        <v>37</v>
      </c>
    </row>
  </sheetData>
  <hyperlinks>
    <hyperlink ref="B1" location="TOC!A1" display="Return to TOC" xr:uid="{00000000-0004-0000-0100-000000000000}"/>
  </hyperlinks>
  <pageMargins left="0.75" right="0.75" top="1" bottom="1" header="0" footer="0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0080"/>
  </sheetPr>
  <dimension ref="B1:M85"/>
  <sheetViews>
    <sheetView topLeftCell="A10" workbookViewId="0">
      <selection activeCell="J41" sqref="J41"/>
    </sheetView>
  </sheetViews>
  <sheetFormatPr defaultColWidth="14.44140625" defaultRowHeight="15" customHeight="1"/>
  <cols>
    <col min="1" max="1" width="4.33203125" customWidth="1"/>
    <col min="2" max="2" width="18.5546875" customWidth="1"/>
    <col min="3" max="3" width="32.109375" customWidth="1"/>
    <col min="4" max="4" width="4.33203125" customWidth="1"/>
    <col min="5" max="5" width="18.5546875" customWidth="1"/>
    <col min="6" max="6" width="23.6640625" customWidth="1"/>
    <col min="7" max="7" width="8.5546875" customWidth="1"/>
    <col min="8" max="8" width="17" customWidth="1"/>
    <col min="9" max="9" width="9.5546875" customWidth="1"/>
    <col min="10" max="10" width="12.44140625" customWidth="1"/>
    <col min="11" max="11" width="4.33203125" customWidth="1"/>
    <col min="12" max="13" width="12.44140625" customWidth="1"/>
  </cols>
  <sheetData>
    <row r="1" spans="2:13" ht="12.75" customHeight="1">
      <c r="C1" s="2" t="s">
        <v>20</v>
      </c>
      <c r="J1" s="18"/>
    </row>
    <row r="2" spans="2:13" ht="12.75" customHeight="1">
      <c r="J2" s="18"/>
    </row>
    <row r="3" spans="2:13" ht="12.75" customHeight="1">
      <c r="B3" s="19" t="s">
        <v>167</v>
      </c>
      <c r="C3" s="19" t="s">
        <v>168</v>
      </c>
      <c r="E3" s="19" t="s">
        <v>167</v>
      </c>
      <c r="F3" s="19" t="s">
        <v>168</v>
      </c>
      <c r="H3" s="19" t="s">
        <v>169</v>
      </c>
      <c r="I3" s="19" t="s">
        <v>170</v>
      </c>
      <c r="J3" s="19" t="s">
        <v>171</v>
      </c>
      <c r="L3" s="19" t="s">
        <v>172</v>
      </c>
      <c r="M3" s="19" t="s">
        <v>171</v>
      </c>
    </row>
    <row r="4" spans="2:13" ht="12.75" customHeight="1">
      <c r="B4" s="20" t="s">
        <v>173</v>
      </c>
      <c r="C4" s="21" t="str">
        <f>VLOOKUP(B4,E4:F51,2,FALSE)</f>
        <v>Psych</v>
      </c>
      <c r="E4" s="20" t="s">
        <v>174</v>
      </c>
      <c r="F4" s="20" t="s">
        <v>175</v>
      </c>
      <c r="H4" s="20" t="s">
        <v>176</v>
      </c>
      <c r="I4" s="22">
        <v>98</v>
      </c>
      <c r="J4" s="23" t="str">
        <f>VLOOKUP(I4,L4:M16,2,TRUE)</f>
        <v>A+</v>
      </c>
      <c r="L4" s="22">
        <v>0</v>
      </c>
      <c r="M4" s="22" t="s">
        <v>177</v>
      </c>
    </row>
    <row r="5" spans="2:13" ht="12.75" customHeight="1">
      <c r="B5" s="20" t="s">
        <v>178</v>
      </c>
      <c r="C5" s="21" t="str">
        <f>VLOOKUP(B5,E4:F51,2,FALSE)</f>
        <v>Twin Peaks</v>
      </c>
      <c r="E5" s="20" t="s">
        <v>179</v>
      </c>
      <c r="F5" s="20" t="s">
        <v>180</v>
      </c>
      <c r="H5" s="20" t="s">
        <v>181</v>
      </c>
      <c r="I5" s="22">
        <v>79</v>
      </c>
      <c r="J5" s="23" t="str">
        <f>VLOOKUP(I5,L4:M16,2,TRUE)</f>
        <v>C+</v>
      </c>
      <c r="L5" s="22">
        <v>60</v>
      </c>
      <c r="M5" s="22" t="s">
        <v>182</v>
      </c>
    </row>
    <row r="6" spans="2:13" ht="12.75" customHeight="1">
      <c r="B6" s="20" t="s">
        <v>183</v>
      </c>
      <c r="C6" s="21" t="str">
        <f>VLOOKUP(B6,E4:F51,2,FALSE)</f>
        <v>Moonlighting</v>
      </c>
      <c r="E6" s="20" t="s">
        <v>183</v>
      </c>
      <c r="F6" s="20" t="s">
        <v>175</v>
      </c>
      <c r="H6" s="20" t="s">
        <v>184</v>
      </c>
      <c r="I6" s="22">
        <v>72</v>
      </c>
      <c r="J6" s="23" t="str">
        <f>VLOOKUP(I6,L4:M16,2,TRUE)</f>
        <v>C-</v>
      </c>
      <c r="L6" s="22">
        <v>64</v>
      </c>
      <c r="M6" s="22" t="s">
        <v>185</v>
      </c>
    </row>
    <row r="7" spans="2:13" ht="12.75" customHeight="1">
      <c r="B7" s="20" t="s">
        <v>184</v>
      </c>
      <c r="C7" s="21" t="str">
        <f>VLOOKUP(B7,E4:F51,2,FALSE)</f>
        <v>Dexter</v>
      </c>
      <c r="E7" s="20" t="s">
        <v>186</v>
      </c>
      <c r="F7" s="20" t="s">
        <v>187</v>
      </c>
      <c r="H7" s="20" t="s">
        <v>188</v>
      </c>
      <c r="I7" s="22">
        <v>93</v>
      </c>
      <c r="J7" s="23" t="str">
        <f>VLOOKUP(I7,L4:M16,2,TRUE)</f>
        <v>A-</v>
      </c>
      <c r="L7" s="22">
        <v>67</v>
      </c>
      <c r="M7" s="22" t="s">
        <v>189</v>
      </c>
    </row>
    <row r="8" spans="2:13" ht="12.75" customHeight="1">
      <c r="B8" s="20" t="s">
        <v>190</v>
      </c>
      <c r="C8" s="21" t="str">
        <f>VLOOKUP(B8,E4:F51,2,FALSE)</f>
        <v>Scrubs</v>
      </c>
      <c r="E8" s="20" t="s">
        <v>191</v>
      </c>
      <c r="F8" s="20" t="s">
        <v>192</v>
      </c>
      <c r="H8" s="20" t="s">
        <v>193</v>
      </c>
      <c r="I8" s="22">
        <v>64</v>
      </c>
      <c r="J8" s="23" t="str">
        <f>VLOOKUP(I8,L4:M16,2,TRUE)</f>
        <v>D</v>
      </c>
      <c r="L8" s="22">
        <v>70</v>
      </c>
      <c r="M8" s="22" t="s">
        <v>194</v>
      </c>
    </row>
    <row r="9" spans="2:13" ht="12.75" customHeight="1">
      <c r="B9" s="20" t="s">
        <v>195</v>
      </c>
      <c r="C9" s="21" t="str">
        <f>VLOOKUP(B9,E4:F51,2,FALSE)</f>
        <v>House, M.D.</v>
      </c>
      <c r="E9" s="20" t="s">
        <v>196</v>
      </c>
      <c r="F9" s="20" t="s">
        <v>180</v>
      </c>
      <c r="H9" s="20" t="s">
        <v>197</v>
      </c>
      <c r="I9" s="22">
        <v>92</v>
      </c>
      <c r="J9" s="23" t="str">
        <f>VLOOKUP(I9,L4:M16,2,TRUE)</f>
        <v>A-</v>
      </c>
      <c r="L9" s="22">
        <v>74</v>
      </c>
      <c r="M9" s="22" t="s">
        <v>198</v>
      </c>
    </row>
    <row r="10" spans="2:13" ht="12.75" customHeight="1">
      <c r="B10" s="20" t="s">
        <v>199</v>
      </c>
      <c r="C10" s="21" t="str">
        <f>VLOOKUP(B10,E4:F51,2,FALSE)</f>
        <v>Blackadder</v>
      </c>
      <c r="E10" s="20" t="s">
        <v>200</v>
      </c>
      <c r="F10" s="20" t="s">
        <v>201</v>
      </c>
      <c r="H10" s="20" t="s">
        <v>202</v>
      </c>
      <c r="I10" s="22">
        <v>70</v>
      </c>
      <c r="J10" s="23" t="str">
        <f>VLOOKUP(I10,L4:M16,2,TRUE)</f>
        <v>C-</v>
      </c>
      <c r="L10" s="22">
        <v>77</v>
      </c>
      <c r="M10" s="22" t="s">
        <v>203</v>
      </c>
    </row>
    <row r="11" spans="2:13" ht="12.75" customHeight="1">
      <c r="B11" s="20" t="s">
        <v>204</v>
      </c>
      <c r="C11" s="21" t="str">
        <f>VLOOKUP(B11,E4:F51,2,FALSE)</f>
        <v>South Park</v>
      </c>
      <c r="E11" s="20" t="s">
        <v>205</v>
      </c>
      <c r="F11" s="20" t="s">
        <v>206</v>
      </c>
      <c r="H11" s="20" t="s">
        <v>207</v>
      </c>
      <c r="I11" s="22">
        <v>91</v>
      </c>
      <c r="J11" s="23" t="str">
        <f>VLOOKUP(I11,L4:M16,2,TRUE)</f>
        <v>A-</v>
      </c>
      <c r="L11" s="22">
        <v>80</v>
      </c>
      <c r="M11" s="22" t="s">
        <v>208</v>
      </c>
    </row>
    <row r="12" spans="2:13" ht="12.75" customHeight="1">
      <c r="B12" s="20" t="s">
        <v>209</v>
      </c>
      <c r="C12" s="21" t="str">
        <f>VLOOKUP(B12,E4:F51,2,FALSE)</f>
        <v>The X Files</v>
      </c>
      <c r="E12" s="20" t="s">
        <v>210</v>
      </c>
      <c r="F12" s="20" t="s">
        <v>211</v>
      </c>
      <c r="H12" s="20" t="s">
        <v>210</v>
      </c>
      <c r="I12" s="22">
        <v>96</v>
      </c>
      <c r="J12" s="23" t="str">
        <f>VLOOKUP(I12,L4:M16,2,TRUE)</f>
        <v>A</v>
      </c>
      <c r="L12" s="22">
        <v>84</v>
      </c>
      <c r="M12" s="22" t="s">
        <v>212</v>
      </c>
    </row>
    <row r="13" spans="2:13" ht="12.75" customHeight="1">
      <c r="B13" s="20" t="s">
        <v>213</v>
      </c>
      <c r="C13" s="21" t="str">
        <f>VLOOKUP(B13,E4:F51,2,FALSE)</f>
        <v>Seinfeld</v>
      </c>
      <c r="E13" s="20" t="s">
        <v>214</v>
      </c>
      <c r="F13" s="20" t="s">
        <v>215</v>
      </c>
      <c r="H13" s="20" t="s">
        <v>186</v>
      </c>
      <c r="I13" s="22">
        <v>68</v>
      </c>
      <c r="J13" s="23" t="str">
        <f>VLOOKUP(I13,L4:M16,2,TRUE)</f>
        <v>D+</v>
      </c>
      <c r="L13" s="22">
        <v>87</v>
      </c>
      <c r="M13" s="22" t="s">
        <v>216</v>
      </c>
    </row>
    <row r="14" spans="2:13" ht="12.75" customHeight="1">
      <c r="B14" s="20" t="s">
        <v>217</v>
      </c>
      <c r="C14" s="21" t="str">
        <f>VLOOKUP(B14,E4:F51,2,FALSE)</f>
        <v>Modern Family</v>
      </c>
      <c r="E14" s="20" t="s">
        <v>218</v>
      </c>
      <c r="F14" s="20">
        <v>24</v>
      </c>
      <c r="H14" s="20" t="s">
        <v>219</v>
      </c>
      <c r="I14" s="22">
        <v>51</v>
      </c>
      <c r="J14" s="23" t="str">
        <f>VLOOKUP(I14,L4:M16,2,TRUE)</f>
        <v>F</v>
      </c>
      <c r="L14" s="22">
        <v>90</v>
      </c>
      <c r="M14" s="22" t="s">
        <v>220</v>
      </c>
    </row>
    <row r="15" spans="2:13" ht="12.75" customHeight="1">
      <c r="B15" s="20" t="s">
        <v>221</v>
      </c>
      <c r="C15" s="21" t="str">
        <f>VLOOKUP(B15,E4:F51,2,FALSE)</f>
        <v>King of the Hill</v>
      </c>
      <c r="E15" s="20" t="s">
        <v>217</v>
      </c>
      <c r="F15" s="20" t="s">
        <v>222</v>
      </c>
      <c r="H15" s="20" t="s">
        <v>223</v>
      </c>
      <c r="I15" s="22">
        <v>94</v>
      </c>
      <c r="J15" s="23" t="str">
        <f>VLOOKUP(I15,L4:M16,2,TRUE)</f>
        <v>A</v>
      </c>
      <c r="L15" s="22">
        <v>94</v>
      </c>
      <c r="M15" s="22" t="s">
        <v>224</v>
      </c>
    </row>
    <row r="16" spans="2:13" ht="12.75" customHeight="1">
      <c r="B16" s="20" t="s">
        <v>193</v>
      </c>
      <c r="C16" s="21" t="str">
        <f>VLOOKUP(B16,E4:F51,2,FALSE)</f>
        <v>Night Court</v>
      </c>
      <c r="E16" s="20" t="s">
        <v>225</v>
      </c>
      <c r="F16" s="20">
        <v>24</v>
      </c>
      <c r="H16" s="20" t="s">
        <v>179</v>
      </c>
      <c r="I16" s="22">
        <v>74</v>
      </c>
      <c r="J16" s="23" t="str">
        <f>VLOOKUP(I16,L4:M16,2,TRUE)</f>
        <v>C</v>
      </c>
      <c r="L16" s="22">
        <v>97</v>
      </c>
      <c r="M16" s="22" t="s">
        <v>226</v>
      </c>
    </row>
    <row r="17" spans="2:10" ht="12.75" customHeight="1">
      <c r="B17" s="20" t="s">
        <v>214</v>
      </c>
      <c r="C17" s="21" t="str">
        <f>VLOOKUP(B17,E4:F51,2,FALSE)</f>
        <v>3rd Rock from the Sun</v>
      </c>
      <c r="E17" s="20" t="s">
        <v>213</v>
      </c>
      <c r="F17" s="20" t="s">
        <v>227</v>
      </c>
      <c r="H17" s="20" t="s">
        <v>228</v>
      </c>
      <c r="I17" s="22">
        <v>53</v>
      </c>
      <c r="J17" s="23" t="str">
        <f>VLOOKUP(I17,L4:M16,2,TRUE)</f>
        <v>F</v>
      </c>
    </row>
    <row r="18" spans="2:10" ht="12.75" customHeight="1">
      <c r="B18" s="20" t="s">
        <v>228</v>
      </c>
      <c r="C18" s="21" t="str">
        <f>VLOOKUP(B18,E4:F51,2,FALSE)</f>
        <v>The Simpsons</v>
      </c>
      <c r="E18" s="20" t="s">
        <v>229</v>
      </c>
      <c r="F18" s="20" t="s">
        <v>222</v>
      </c>
      <c r="H18" s="20" t="s">
        <v>190</v>
      </c>
      <c r="I18" s="22">
        <v>89</v>
      </c>
      <c r="J18" s="23" t="str">
        <f>VLOOKUP(I18,L4:M16,2,TRUE)</f>
        <v>B+</v>
      </c>
    </row>
    <row r="19" spans="2:10" ht="12.75" customHeight="1">
      <c r="B19" s="20" t="s">
        <v>230</v>
      </c>
      <c r="C19" s="21" t="str">
        <f>VLOOKUP(B19,E4:F51,2,FALSE)</f>
        <v>Lost</v>
      </c>
      <c r="E19" s="20" t="s">
        <v>219</v>
      </c>
      <c r="F19" s="20" t="s">
        <v>231</v>
      </c>
      <c r="H19" s="20" t="s">
        <v>232</v>
      </c>
      <c r="I19" s="22">
        <v>55</v>
      </c>
      <c r="J19" s="23" t="str">
        <f>VLOOKUP(I19,L4:M16,2,TRUE)</f>
        <v>F</v>
      </c>
    </row>
    <row r="20" spans="2:10" ht="12.75" customHeight="1">
      <c r="B20" s="20" t="s">
        <v>225</v>
      </c>
      <c r="C20" s="21">
        <f>VLOOKUP(B20,E4:F51,2,FALSE)</f>
        <v>24</v>
      </c>
      <c r="E20" s="20" t="s">
        <v>221</v>
      </c>
      <c r="F20" s="20" t="s">
        <v>233</v>
      </c>
      <c r="H20" s="20" t="s">
        <v>195</v>
      </c>
      <c r="I20" s="22">
        <v>79</v>
      </c>
      <c r="J20" s="23" t="str">
        <f>VLOOKUP(I20,L4:M16,2,TRUE)</f>
        <v>C+</v>
      </c>
    </row>
    <row r="21" spans="2:10" ht="12.75" customHeight="1">
      <c r="B21" s="20" t="s">
        <v>234</v>
      </c>
      <c r="C21" s="21" t="str">
        <f>VLOOKUP(B21,E4:F51,2,FALSE)</f>
        <v>Without A Trace</v>
      </c>
      <c r="E21" s="20" t="s">
        <v>235</v>
      </c>
      <c r="F21" s="20" t="s">
        <v>236</v>
      </c>
      <c r="H21" s="20" t="s">
        <v>178</v>
      </c>
      <c r="I21" s="22">
        <v>98</v>
      </c>
      <c r="J21" s="23" t="str">
        <f>VLOOKUP(I21,L4:M16,2,TRUE)</f>
        <v>A+</v>
      </c>
    </row>
    <row r="22" spans="2:10" ht="12.75" customHeight="1">
      <c r="B22" s="20" t="s">
        <v>191</v>
      </c>
      <c r="C22" s="21" t="str">
        <f>VLOOKUP(B22,E4:F51,2,FALSE)</f>
        <v>Curb Your Enthusiasm</v>
      </c>
      <c r="E22" s="20" t="s">
        <v>237</v>
      </c>
      <c r="F22" s="20" t="s">
        <v>238</v>
      </c>
      <c r="H22" s="20" t="s">
        <v>230</v>
      </c>
      <c r="I22" s="22">
        <v>95</v>
      </c>
      <c r="J22" s="23" t="str">
        <f>VLOOKUP(I22,L4:M16,2,TRUE)</f>
        <v>A</v>
      </c>
    </row>
    <row r="23" spans="2:10" ht="12.75" customHeight="1">
      <c r="B23" s="20" t="s">
        <v>202</v>
      </c>
      <c r="C23" s="21" t="str">
        <f>VLOOKUP(B23,E4:F51,2,FALSE)</f>
        <v>Taxi</v>
      </c>
      <c r="E23" s="20" t="s">
        <v>197</v>
      </c>
      <c r="F23" s="20" t="s">
        <v>239</v>
      </c>
      <c r="H23" s="20" t="s">
        <v>240</v>
      </c>
      <c r="I23" s="22">
        <v>63</v>
      </c>
      <c r="J23" s="23" t="str">
        <f>VLOOKUP(I23,L4:M16,2,TRUE)</f>
        <v>D-</v>
      </c>
    </row>
    <row r="24" spans="2:10" ht="12.75" customHeight="1">
      <c r="B24" s="20" t="s">
        <v>207</v>
      </c>
      <c r="C24" s="21" t="str">
        <f>VLOOKUP(B24,E4:F51,2,FALSE)</f>
        <v>Lost</v>
      </c>
      <c r="E24" s="20" t="s">
        <v>232</v>
      </c>
      <c r="F24" s="20" t="s">
        <v>241</v>
      </c>
      <c r="H24" s="20" t="s">
        <v>214</v>
      </c>
      <c r="I24" s="22">
        <v>57</v>
      </c>
      <c r="J24" s="23" t="str">
        <f>VLOOKUP(I24,L4:M16,2,TRUE)</f>
        <v>F</v>
      </c>
    </row>
    <row r="25" spans="2:10" ht="12.75" customHeight="1">
      <c r="B25" s="20" t="s">
        <v>218</v>
      </c>
      <c r="C25" s="21">
        <f>VLOOKUP(B25,E4:F51,2,FALSE)</f>
        <v>24</v>
      </c>
      <c r="E25" s="20" t="s">
        <v>242</v>
      </c>
      <c r="F25" s="20" t="s">
        <v>243</v>
      </c>
      <c r="H25" s="20" t="s">
        <v>221</v>
      </c>
      <c r="I25" s="22">
        <v>91</v>
      </c>
      <c r="J25" s="23" t="str">
        <f>VLOOKUP(I25,L4:M16,2,TRUE)</f>
        <v>A-</v>
      </c>
    </row>
    <row r="26" spans="2:10" ht="12.75" customHeight="1">
      <c r="B26" s="20" t="s">
        <v>244</v>
      </c>
      <c r="C26" s="21" t="str">
        <f>VLOOKUP(B26,E4:F51,2,FALSE)</f>
        <v>30 Rock</v>
      </c>
      <c r="E26" s="20" t="s">
        <v>193</v>
      </c>
      <c r="F26" s="20" t="s">
        <v>245</v>
      </c>
      <c r="H26" s="20" t="s">
        <v>173</v>
      </c>
      <c r="I26" s="22">
        <v>95</v>
      </c>
      <c r="J26" s="23" t="str">
        <f>VLOOKUP(I26,L4:M16,2,TRUE)</f>
        <v>A</v>
      </c>
    </row>
    <row r="27" spans="2:10" ht="12.75" customHeight="1">
      <c r="B27" s="20" t="s">
        <v>240</v>
      </c>
      <c r="C27" s="21" t="str">
        <f>VLOOKUP(B27,E4:F51,2,FALSE)</f>
        <v>Gilmore Girls</v>
      </c>
      <c r="E27" s="20" t="s">
        <v>173</v>
      </c>
      <c r="F27" s="20" t="s">
        <v>239</v>
      </c>
      <c r="H27" s="20" t="s">
        <v>205</v>
      </c>
      <c r="I27" s="22">
        <v>97</v>
      </c>
      <c r="J27" s="23" t="str">
        <f>VLOOKUP(I27,L4:M16,2,TRUE)</f>
        <v>A+</v>
      </c>
    </row>
    <row r="28" spans="2:10" ht="12.75" customHeight="1">
      <c r="B28" s="20" t="s">
        <v>219</v>
      </c>
      <c r="C28" s="21" t="str">
        <f>VLOOKUP(B28,E4:F51,2,FALSE)</f>
        <v>Desperate Housewives</v>
      </c>
      <c r="E28" s="20" t="s">
        <v>204</v>
      </c>
      <c r="F28" s="20" t="s">
        <v>246</v>
      </c>
      <c r="H28" s="20" t="s">
        <v>237</v>
      </c>
      <c r="I28" s="22">
        <v>97</v>
      </c>
      <c r="J28" s="23" t="str">
        <f>VLOOKUP(I28,L4:M16,2,TRUE)</f>
        <v>A+</v>
      </c>
    </row>
    <row r="29" spans="2:10" ht="12.75" customHeight="1">
      <c r="B29" s="20" t="s">
        <v>174</v>
      </c>
      <c r="C29" s="21" t="str">
        <f>VLOOKUP(B29,E4:F51,2,FALSE)</f>
        <v>Moonlighting</v>
      </c>
      <c r="E29" s="20" t="s">
        <v>247</v>
      </c>
      <c r="F29" s="20" t="s">
        <v>248</v>
      </c>
      <c r="H29" s="20" t="s">
        <v>200</v>
      </c>
      <c r="I29" s="22">
        <v>70</v>
      </c>
      <c r="J29" s="23" t="str">
        <f>VLOOKUP(I29,L4:M16,2,TRUE)</f>
        <v>C-</v>
      </c>
    </row>
    <row r="30" spans="2:10" ht="12.75" customHeight="1">
      <c r="B30" s="20" t="s">
        <v>200</v>
      </c>
      <c r="C30" s="21" t="str">
        <f>VLOOKUP(B30,E4:F51,2,FALSE)</f>
        <v>Friday Night Lights</v>
      </c>
      <c r="E30" s="20" t="s">
        <v>188</v>
      </c>
      <c r="F30" s="20" t="s">
        <v>249</v>
      </c>
      <c r="H30" s="20" t="s">
        <v>213</v>
      </c>
      <c r="I30" s="22">
        <v>55</v>
      </c>
      <c r="J30" s="23" t="str">
        <f>VLOOKUP(I30,L4:M16,2,TRUE)</f>
        <v>F</v>
      </c>
    </row>
    <row r="31" spans="2:10" ht="12.75" customHeight="1">
      <c r="B31" s="20" t="s">
        <v>242</v>
      </c>
      <c r="C31" s="21" t="str">
        <f>VLOOKUP(B31,E4:F51,2,FALSE)</f>
        <v>Friends</v>
      </c>
      <c r="E31" s="20" t="s">
        <v>250</v>
      </c>
      <c r="F31" s="20" t="s">
        <v>251</v>
      </c>
      <c r="H31" s="20" t="s">
        <v>234</v>
      </c>
      <c r="I31" s="22">
        <v>89</v>
      </c>
      <c r="J31" s="23" t="str">
        <f>VLOOKUP(I31,L4:M16,2,TRUE)</f>
        <v>B+</v>
      </c>
    </row>
    <row r="32" spans="2:10" ht="12.75" customHeight="1">
      <c r="B32" s="20" t="s">
        <v>252</v>
      </c>
      <c r="C32" s="21" t="str">
        <f>VLOOKUP(B32,E4:F51,2,FALSE)</f>
        <v>Monk</v>
      </c>
      <c r="E32" s="20" t="s">
        <v>223</v>
      </c>
      <c r="F32" s="20" t="s">
        <v>253</v>
      </c>
      <c r="H32" s="20" t="s">
        <v>254</v>
      </c>
      <c r="I32" s="22">
        <v>77</v>
      </c>
      <c r="J32" s="23" t="str">
        <f>VLOOKUP(I32,L4:M16,2,TRUE)</f>
        <v>C+</v>
      </c>
    </row>
    <row r="33" spans="2:10" ht="12.75" customHeight="1">
      <c r="B33" s="20" t="s">
        <v>255</v>
      </c>
      <c r="C33" s="21" t="str">
        <f>VLOOKUP(B33,E4:F51,2,FALSE)</f>
        <v>Frasier</v>
      </c>
      <c r="E33" s="20" t="s">
        <v>256</v>
      </c>
      <c r="F33" s="20" t="s">
        <v>257</v>
      </c>
      <c r="H33" s="20" t="s">
        <v>235</v>
      </c>
      <c r="I33" s="22">
        <v>90</v>
      </c>
      <c r="J33" s="23" t="str">
        <f>VLOOKUP(I33,L4:M16,2,TRUE)</f>
        <v>A-</v>
      </c>
    </row>
    <row r="34" spans="2:10" ht="12.75" customHeight="1">
      <c r="B34" s="20" t="s">
        <v>196</v>
      </c>
      <c r="C34" s="21" t="str">
        <f>VLOOKUP(B34,E4:F51,2,FALSE)</f>
        <v>Cheers</v>
      </c>
      <c r="E34" s="20" t="s">
        <v>209</v>
      </c>
      <c r="F34" s="20" t="s">
        <v>258</v>
      </c>
      <c r="H34" s="20" t="s">
        <v>225</v>
      </c>
      <c r="I34" s="22">
        <v>79</v>
      </c>
      <c r="J34" s="23" t="str">
        <f>VLOOKUP(I34,L4:M16,2,TRUE)</f>
        <v>C+</v>
      </c>
    </row>
    <row r="35" spans="2:10" ht="12.75" customHeight="1">
      <c r="B35" s="20" t="s">
        <v>229</v>
      </c>
      <c r="C35" s="21" t="str">
        <f>VLOOKUP(B35,E4:F51,2,FALSE)</f>
        <v>Modern Family</v>
      </c>
      <c r="E35" s="20" t="s">
        <v>234</v>
      </c>
      <c r="F35" s="20" t="s">
        <v>259</v>
      </c>
      <c r="H35" s="20" t="s">
        <v>218</v>
      </c>
      <c r="I35" s="22">
        <v>84</v>
      </c>
      <c r="J35" s="23" t="str">
        <f>VLOOKUP(I35,L4:M16,2,TRUE)</f>
        <v>B</v>
      </c>
    </row>
    <row r="36" spans="2:10" ht="12.75" customHeight="1">
      <c r="B36" s="20" t="s">
        <v>250</v>
      </c>
      <c r="C36" s="21" t="str">
        <f>VLOOKUP(B36,E4:F51,2,FALSE)</f>
        <v>Futurama</v>
      </c>
      <c r="E36" s="20" t="s">
        <v>207</v>
      </c>
      <c r="F36" s="20" t="s">
        <v>257</v>
      </c>
      <c r="H36" s="20" t="s">
        <v>191</v>
      </c>
      <c r="I36" s="22">
        <v>56</v>
      </c>
      <c r="J36" s="23" t="str">
        <f>VLOOKUP(I36,L4:M16,2,TRUE)</f>
        <v>F</v>
      </c>
    </row>
    <row r="37" spans="2:10" ht="12.75" customHeight="1">
      <c r="E37" s="20" t="s">
        <v>202</v>
      </c>
      <c r="F37" s="20" t="s">
        <v>260</v>
      </c>
      <c r="H37" s="20" t="s">
        <v>196</v>
      </c>
      <c r="I37" s="22">
        <v>52</v>
      </c>
      <c r="J37" s="23" t="str">
        <f>VLOOKUP(I37,L4:M16,2,TRUE)</f>
        <v>F</v>
      </c>
    </row>
    <row r="38" spans="2:10" ht="12.75" customHeight="1">
      <c r="E38" s="20" t="s">
        <v>228</v>
      </c>
      <c r="F38" s="20" t="s">
        <v>261</v>
      </c>
      <c r="H38" s="20" t="s">
        <v>204</v>
      </c>
      <c r="I38" s="22">
        <v>94</v>
      </c>
      <c r="J38" s="23" t="str">
        <f>VLOOKUP(I38,L4:M16,2,TRUE)</f>
        <v>A</v>
      </c>
    </row>
    <row r="39" spans="2:10" ht="12.75" customHeight="1">
      <c r="E39" s="20" t="s">
        <v>199</v>
      </c>
      <c r="F39" s="20" t="s">
        <v>262</v>
      </c>
      <c r="H39" s="20" t="s">
        <v>252</v>
      </c>
      <c r="I39" s="22">
        <v>55</v>
      </c>
      <c r="J39" s="23" t="str">
        <f>VLOOKUP(I39,L4:M16,2,TRUE)</f>
        <v>F</v>
      </c>
    </row>
    <row r="40" spans="2:10" ht="12.75" customHeight="1">
      <c r="E40" s="20" t="s">
        <v>254</v>
      </c>
      <c r="F40" s="20" t="s">
        <v>263</v>
      </c>
      <c r="H40" s="20" t="s">
        <v>183</v>
      </c>
      <c r="I40" s="22">
        <v>54</v>
      </c>
      <c r="J40" s="23" t="str">
        <f>VLOOKUP(I40,L4:M16,2,TRUE)</f>
        <v>F</v>
      </c>
    </row>
    <row r="41" spans="2:10" ht="12.75" customHeight="1">
      <c r="E41" s="20" t="s">
        <v>190</v>
      </c>
      <c r="F41" s="20" t="s">
        <v>241</v>
      </c>
      <c r="J41" s="18"/>
    </row>
    <row r="42" spans="2:10" ht="12.75" customHeight="1">
      <c r="E42" s="20" t="s">
        <v>176</v>
      </c>
      <c r="F42" s="20" t="s">
        <v>243</v>
      </c>
      <c r="J42" s="18"/>
    </row>
    <row r="43" spans="2:10" ht="12.75" customHeight="1">
      <c r="E43" s="20" t="s">
        <v>178</v>
      </c>
      <c r="F43" s="20" t="s">
        <v>264</v>
      </c>
      <c r="J43" s="18"/>
    </row>
    <row r="44" spans="2:10" ht="12.75" customHeight="1">
      <c r="E44" s="20" t="s">
        <v>252</v>
      </c>
      <c r="F44" s="20" t="s">
        <v>187</v>
      </c>
      <c r="J44" s="18"/>
    </row>
    <row r="45" spans="2:10" ht="12.75" customHeight="1">
      <c r="E45" s="20" t="s">
        <v>195</v>
      </c>
      <c r="F45" s="20" t="s">
        <v>265</v>
      </c>
      <c r="J45" s="18"/>
    </row>
    <row r="46" spans="2:10" ht="12.75" customHeight="1">
      <c r="E46" s="20" t="s">
        <v>184</v>
      </c>
      <c r="F46" s="20" t="s">
        <v>266</v>
      </c>
      <c r="J46" s="18"/>
    </row>
    <row r="47" spans="2:10" ht="12.75" customHeight="1">
      <c r="E47" s="20" t="s">
        <v>230</v>
      </c>
      <c r="F47" s="20" t="s">
        <v>257</v>
      </c>
      <c r="J47" s="18"/>
    </row>
    <row r="48" spans="2:10" ht="12.75" customHeight="1">
      <c r="E48" s="20" t="s">
        <v>240</v>
      </c>
      <c r="F48" s="20" t="s">
        <v>267</v>
      </c>
      <c r="J48" s="18"/>
    </row>
    <row r="49" spans="5:10" ht="12.75" customHeight="1">
      <c r="E49" s="20" t="s">
        <v>255</v>
      </c>
      <c r="F49" s="20" t="s">
        <v>268</v>
      </c>
      <c r="J49" s="18"/>
    </row>
    <row r="50" spans="5:10" ht="12.75" customHeight="1">
      <c r="E50" s="20" t="s">
        <v>244</v>
      </c>
      <c r="F50" s="20" t="s">
        <v>269</v>
      </c>
      <c r="J50" s="18"/>
    </row>
    <row r="51" spans="5:10" ht="12.75" customHeight="1">
      <c r="E51" s="20" t="s">
        <v>181</v>
      </c>
      <c r="F51" s="20" t="s">
        <v>270</v>
      </c>
      <c r="J51" s="18"/>
    </row>
    <row r="52" spans="5:10" ht="12.75" customHeight="1">
      <c r="J52" s="18"/>
    </row>
    <row r="53" spans="5:10" ht="12.75" customHeight="1">
      <c r="J53" s="18"/>
    </row>
    <row r="54" spans="5:10" ht="12.75" customHeight="1">
      <c r="J54" s="18"/>
    </row>
    <row r="55" spans="5:10" ht="12.75" customHeight="1">
      <c r="J55" s="18"/>
    </row>
    <row r="56" spans="5:10" ht="12.75" customHeight="1">
      <c r="J56" s="18"/>
    </row>
    <row r="57" spans="5:10" ht="12.75" customHeight="1">
      <c r="J57" s="18"/>
    </row>
    <row r="58" spans="5:10" ht="12.75" customHeight="1">
      <c r="J58" s="18"/>
    </row>
    <row r="59" spans="5:10" ht="12.75" customHeight="1">
      <c r="J59" s="18"/>
    </row>
    <row r="60" spans="5:10" ht="12.75" customHeight="1">
      <c r="J60" s="18"/>
    </row>
    <row r="61" spans="5:10" ht="12.75" customHeight="1">
      <c r="J61" s="18"/>
    </row>
    <row r="62" spans="5:10" ht="12.75" customHeight="1">
      <c r="J62" s="18"/>
    </row>
    <row r="63" spans="5:10" ht="12.75" customHeight="1">
      <c r="J63" s="18"/>
    </row>
    <row r="64" spans="5:10" ht="12.75" customHeight="1">
      <c r="J64" s="18"/>
    </row>
    <row r="65" spans="10:10" ht="12.75" customHeight="1">
      <c r="J65" s="18"/>
    </row>
    <row r="66" spans="10:10" ht="12.75" customHeight="1">
      <c r="J66" s="18"/>
    </row>
    <row r="67" spans="10:10" ht="12.75" customHeight="1">
      <c r="J67" s="18"/>
    </row>
    <row r="68" spans="10:10" ht="12.75" customHeight="1">
      <c r="J68" s="18"/>
    </row>
    <row r="69" spans="10:10" ht="12.75" customHeight="1">
      <c r="J69" s="18"/>
    </row>
    <row r="70" spans="10:10" ht="12.75" customHeight="1">
      <c r="J70" s="18"/>
    </row>
    <row r="71" spans="10:10" ht="12.75" customHeight="1">
      <c r="J71" s="18"/>
    </row>
    <row r="72" spans="10:10" ht="12.75" customHeight="1">
      <c r="J72" s="18"/>
    </row>
    <row r="73" spans="10:10" ht="12.75" customHeight="1">
      <c r="J73" s="18"/>
    </row>
    <row r="74" spans="10:10" ht="12.75" customHeight="1">
      <c r="J74" s="18"/>
    </row>
    <row r="75" spans="10:10" ht="12.75" customHeight="1">
      <c r="J75" s="18"/>
    </row>
    <row r="76" spans="10:10" ht="12.75" customHeight="1">
      <c r="J76" s="18"/>
    </row>
    <row r="77" spans="10:10" ht="12.75" customHeight="1">
      <c r="J77" s="18"/>
    </row>
    <row r="78" spans="10:10" ht="12.75" customHeight="1">
      <c r="J78" s="18"/>
    </row>
    <row r="79" spans="10:10" ht="12.75" customHeight="1">
      <c r="J79" s="18"/>
    </row>
    <row r="80" spans="10:10" ht="12.75" customHeight="1">
      <c r="J80" s="18"/>
    </row>
    <row r="81" spans="10:10" ht="12.75" customHeight="1">
      <c r="J81" s="18"/>
    </row>
    <row r="82" spans="10:10" ht="12.75" customHeight="1">
      <c r="J82" s="18"/>
    </row>
    <row r="83" spans="10:10" ht="12.75" customHeight="1">
      <c r="J83" s="18"/>
    </row>
    <row r="84" spans="10:10" ht="12.75" customHeight="1">
      <c r="J84" s="18"/>
    </row>
    <row r="85" spans="10:10" ht="12.75" customHeight="1">
      <c r="J85" s="18"/>
    </row>
  </sheetData>
  <hyperlinks>
    <hyperlink ref="C1" location="TOC!A1" display="Return to TOC" xr:uid="{00000000-0004-0000-0400-000000000000}"/>
  </hyperlinks>
  <pageMargins left="0.75" right="0.75" top="0.72" bottom="0.7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0080"/>
    <pageSetUpPr fitToPage="1"/>
  </sheetPr>
  <dimension ref="B1:G105"/>
  <sheetViews>
    <sheetView showGridLines="0" workbookViewId="0">
      <selection activeCell="E8" sqref="E8"/>
    </sheetView>
  </sheetViews>
  <sheetFormatPr defaultColWidth="14.44140625" defaultRowHeight="15" customHeight="1"/>
  <cols>
    <col min="1" max="1" width="4.44140625" customWidth="1"/>
    <col min="2" max="2" width="19.109375" customWidth="1"/>
    <col min="3" max="4" width="8.6640625" customWidth="1"/>
    <col min="5" max="5" width="14.88671875" customWidth="1"/>
    <col min="6" max="11" width="8.6640625" customWidth="1"/>
  </cols>
  <sheetData>
    <row r="1" spans="2:6" ht="12.75" customHeight="1">
      <c r="B1" s="2" t="s">
        <v>20</v>
      </c>
    </row>
    <row r="2" spans="2:6" ht="12.75" customHeight="1"/>
    <row r="3" spans="2:6" ht="12.75" customHeight="1">
      <c r="B3" s="5" t="s">
        <v>271</v>
      </c>
      <c r="C3" s="5" t="s">
        <v>272</v>
      </c>
      <c r="D3" s="5" t="s">
        <v>273</v>
      </c>
      <c r="E3" s="5" t="s">
        <v>274</v>
      </c>
      <c r="F3" s="5" t="s">
        <v>275</v>
      </c>
    </row>
    <row r="4" spans="2:6" ht="12.75" customHeight="1">
      <c r="B4" s="24">
        <v>41547</v>
      </c>
      <c r="C4" s="25" t="str">
        <f>CHOOSE(WEEKDAY(B4), "Sun", "Mon", "Tue", "Wed", "Thu", "Fri", "Sat")</f>
        <v>Mon</v>
      </c>
      <c r="D4" s="25">
        <f xml:space="preserve"> YEAR(B4)</f>
        <v>2013</v>
      </c>
      <c r="E4" s="25" t="str">
        <f xml:space="preserve"> TEXT(B4, "mmmm")</f>
        <v>September</v>
      </c>
      <c r="F4" s="25" t="str">
        <f xml:space="preserve"> "Q" &amp; ROUNDUP(MONTH(B4)/3, 0)</f>
        <v>Q3</v>
      </c>
    </row>
    <row r="5" spans="2:6" ht="12.75" customHeight="1">
      <c r="B5" s="24">
        <v>41486</v>
      </c>
      <c r="C5" s="25" t="str">
        <f>CHOOSE(WEEKDAY(B5), "Sun", "Mon", "Tue", "Wed", "Thu", "Fri", "Sat")</f>
        <v>Wed</v>
      </c>
      <c r="D5" s="25">
        <f t="shared" ref="D5:D68" si="0" xml:space="preserve"> YEAR(B5)</f>
        <v>2013</v>
      </c>
      <c r="E5" s="25" t="str">
        <f t="shared" ref="E5:E68" si="1" xml:space="preserve"> TEXT(B5, "mmmm")</f>
        <v>July</v>
      </c>
      <c r="F5" s="25" t="str">
        <f t="shared" ref="F5:F68" si="2" xml:space="preserve"> "Q" &amp; ROUNDUP(MONTH(B5)/3, 0)</f>
        <v>Q3</v>
      </c>
    </row>
    <row r="6" spans="2:6" ht="12.75" customHeight="1">
      <c r="B6" s="24">
        <v>41608</v>
      </c>
      <c r="C6" s="25" t="str">
        <f t="shared" ref="C6:C69" si="3">CHOOSE(WEEKDAY(B6), "Sun", "Mon", "Tue", "Wed", "Thu", "Fri", "Sat")</f>
        <v>Sat</v>
      </c>
      <c r="D6" s="25">
        <f t="shared" si="0"/>
        <v>2013</v>
      </c>
      <c r="E6" s="25" t="str">
        <f t="shared" si="1"/>
        <v>November</v>
      </c>
      <c r="F6" s="25" t="str">
        <f t="shared" si="2"/>
        <v>Q4</v>
      </c>
    </row>
    <row r="7" spans="2:6" ht="12.75" customHeight="1">
      <c r="B7" s="24">
        <v>41547</v>
      </c>
      <c r="C7" s="25" t="str">
        <f t="shared" si="3"/>
        <v>Mon</v>
      </c>
      <c r="D7" s="25">
        <f t="shared" si="0"/>
        <v>2013</v>
      </c>
      <c r="E7" s="25" t="str">
        <f xml:space="preserve"> TEXT(B7, "mmmm")</f>
        <v>September</v>
      </c>
      <c r="F7" s="25" t="str">
        <f t="shared" si="2"/>
        <v>Q3</v>
      </c>
    </row>
    <row r="8" spans="2:6" ht="12.75" customHeight="1">
      <c r="B8" s="24">
        <v>41820</v>
      </c>
      <c r="C8" s="25" t="str">
        <f t="shared" si="3"/>
        <v>Mon</v>
      </c>
      <c r="D8" s="25">
        <f t="shared" si="0"/>
        <v>2014</v>
      </c>
      <c r="E8" s="25" t="str">
        <f t="shared" si="1"/>
        <v>June</v>
      </c>
      <c r="F8" s="25" t="str">
        <f t="shared" si="2"/>
        <v>Q2</v>
      </c>
    </row>
    <row r="9" spans="2:6" ht="12.75" customHeight="1">
      <c r="B9" s="24">
        <v>41729</v>
      </c>
      <c r="C9" s="25" t="str">
        <f t="shared" si="3"/>
        <v>Mon</v>
      </c>
      <c r="D9" s="25">
        <f t="shared" si="0"/>
        <v>2014</v>
      </c>
      <c r="E9" s="25" t="str">
        <f t="shared" si="1"/>
        <v>March</v>
      </c>
      <c r="F9" s="25" t="str">
        <f t="shared" si="2"/>
        <v>Q1</v>
      </c>
    </row>
    <row r="10" spans="2:6" ht="12.75" customHeight="1">
      <c r="B10" s="24">
        <v>41820</v>
      </c>
      <c r="C10" s="25" t="str">
        <f t="shared" si="3"/>
        <v>Mon</v>
      </c>
      <c r="D10" s="25">
        <f t="shared" si="0"/>
        <v>2014</v>
      </c>
      <c r="E10" s="25" t="str">
        <f t="shared" si="1"/>
        <v>June</v>
      </c>
      <c r="F10" s="25" t="str">
        <f t="shared" si="2"/>
        <v>Q2</v>
      </c>
    </row>
    <row r="11" spans="2:6" ht="12.75" customHeight="1">
      <c r="B11" s="24">
        <v>42155</v>
      </c>
      <c r="C11" s="25" t="str">
        <f t="shared" si="3"/>
        <v>Sun</v>
      </c>
      <c r="D11" s="25">
        <f t="shared" si="0"/>
        <v>2015</v>
      </c>
      <c r="E11" s="25" t="str">
        <f t="shared" si="1"/>
        <v>May</v>
      </c>
      <c r="F11" s="25" t="str">
        <f t="shared" si="2"/>
        <v>Q2</v>
      </c>
    </row>
    <row r="12" spans="2:6" ht="12.75" customHeight="1">
      <c r="B12" s="24">
        <v>41578</v>
      </c>
      <c r="C12" s="25" t="str">
        <f t="shared" si="3"/>
        <v>Thu</v>
      </c>
      <c r="D12" s="25">
        <f t="shared" si="0"/>
        <v>2013</v>
      </c>
      <c r="E12" s="25" t="str">
        <f t="shared" si="1"/>
        <v>October</v>
      </c>
      <c r="F12" s="25" t="str">
        <f t="shared" si="2"/>
        <v>Q4</v>
      </c>
    </row>
    <row r="13" spans="2:6" ht="12.75" customHeight="1">
      <c r="B13" s="24">
        <v>42155</v>
      </c>
      <c r="C13" s="25" t="str">
        <f t="shared" si="3"/>
        <v>Sun</v>
      </c>
      <c r="D13" s="25">
        <f t="shared" si="0"/>
        <v>2015</v>
      </c>
      <c r="E13" s="25" t="str">
        <f t="shared" si="1"/>
        <v>May</v>
      </c>
      <c r="F13" s="25" t="str">
        <f t="shared" si="2"/>
        <v>Q2</v>
      </c>
    </row>
    <row r="14" spans="2:6" ht="12.75" customHeight="1">
      <c r="B14" s="24">
        <v>41729</v>
      </c>
      <c r="C14" s="25" t="str">
        <f t="shared" si="3"/>
        <v>Mon</v>
      </c>
      <c r="D14" s="25">
        <f t="shared" si="0"/>
        <v>2014</v>
      </c>
      <c r="E14" s="25" t="str">
        <f t="shared" si="1"/>
        <v>March</v>
      </c>
      <c r="F14" s="25" t="str">
        <f t="shared" si="2"/>
        <v>Q1</v>
      </c>
    </row>
    <row r="15" spans="2:6" ht="12.75" customHeight="1">
      <c r="B15" s="24">
        <v>41851</v>
      </c>
      <c r="C15" s="25" t="str">
        <f t="shared" si="3"/>
        <v>Thu</v>
      </c>
      <c r="D15" s="25">
        <f t="shared" si="0"/>
        <v>2014</v>
      </c>
      <c r="E15" s="25" t="str">
        <f t="shared" si="1"/>
        <v>July</v>
      </c>
      <c r="F15" s="25" t="str">
        <f t="shared" si="2"/>
        <v>Q3</v>
      </c>
    </row>
    <row r="16" spans="2:6" ht="12.75" customHeight="1">
      <c r="B16" s="24">
        <v>41639</v>
      </c>
      <c r="C16" s="25" t="str">
        <f t="shared" si="3"/>
        <v>Tue</v>
      </c>
      <c r="D16" s="25">
        <f t="shared" si="0"/>
        <v>2013</v>
      </c>
      <c r="E16" s="25" t="str">
        <f t="shared" si="1"/>
        <v>December</v>
      </c>
      <c r="F16" s="25" t="str">
        <f t="shared" si="2"/>
        <v>Q4</v>
      </c>
    </row>
    <row r="17" spans="2:6" ht="12.75" customHeight="1">
      <c r="B17" s="24">
        <v>41851</v>
      </c>
      <c r="C17" s="25" t="str">
        <f t="shared" si="3"/>
        <v>Thu</v>
      </c>
      <c r="D17" s="25">
        <f t="shared" si="0"/>
        <v>2014</v>
      </c>
      <c r="E17" s="25" t="str">
        <f t="shared" si="1"/>
        <v>July</v>
      </c>
      <c r="F17" s="25" t="str">
        <f t="shared" si="2"/>
        <v>Q3</v>
      </c>
    </row>
    <row r="18" spans="2:6" ht="12.75" customHeight="1">
      <c r="B18" s="24">
        <v>42338</v>
      </c>
      <c r="C18" s="25" t="str">
        <f t="shared" si="3"/>
        <v>Mon</v>
      </c>
      <c r="D18" s="25">
        <f t="shared" si="0"/>
        <v>2015</v>
      </c>
      <c r="E18" s="25" t="str">
        <f t="shared" si="1"/>
        <v>November</v>
      </c>
      <c r="F18" s="25" t="str">
        <f t="shared" si="2"/>
        <v>Q4</v>
      </c>
    </row>
    <row r="19" spans="2:6" ht="12.75" customHeight="1">
      <c r="B19" s="24">
        <v>41729</v>
      </c>
      <c r="C19" s="25" t="str">
        <f t="shared" si="3"/>
        <v>Mon</v>
      </c>
      <c r="D19" s="25">
        <f t="shared" si="0"/>
        <v>2014</v>
      </c>
      <c r="E19" s="25" t="str">
        <f t="shared" si="1"/>
        <v>March</v>
      </c>
      <c r="F19" s="25" t="str">
        <f t="shared" si="2"/>
        <v>Q1</v>
      </c>
    </row>
    <row r="20" spans="2:6" ht="12.75" customHeight="1">
      <c r="B20" s="24">
        <v>43008</v>
      </c>
      <c r="C20" s="25" t="str">
        <f t="shared" si="3"/>
        <v>Sat</v>
      </c>
      <c r="D20" s="25">
        <f t="shared" si="0"/>
        <v>2017</v>
      </c>
      <c r="E20" s="25" t="str">
        <f t="shared" si="1"/>
        <v>September</v>
      </c>
      <c r="F20" s="25" t="str">
        <f t="shared" si="2"/>
        <v>Q3</v>
      </c>
    </row>
    <row r="21" spans="2:6" ht="12.75" customHeight="1">
      <c r="B21" s="24">
        <v>42551</v>
      </c>
      <c r="C21" s="25" t="str">
        <f t="shared" si="3"/>
        <v>Thu</v>
      </c>
      <c r="D21" s="25">
        <f t="shared" si="0"/>
        <v>2016</v>
      </c>
      <c r="E21" s="25" t="str">
        <f t="shared" si="1"/>
        <v>June</v>
      </c>
      <c r="F21" s="25" t="str">
        <f t="shared" si="2"/>
        <v>Q2</v>
      </c>
    </row>
    <row r="22" spans="2:6" ht="12.75" customHeight="1">
      <c r="B22" s="24">
        <v>42185</v>
      </c>
      <c r="C22" s="25" t="str">
        <f t="shared" si="3"/>
        <v>Tue</v>
      </c>
      <c r="D22" s="25">
        <f t="shared" si="0"/>
        <v>2015</v>
      </c>
      <c r="E22" s="25" t="str">
        <f t="shared" si="1"/>
        <v>June</v>
      </c>
      <c r="F22" s="25" t="str">
        <f t="shared" si="2"/>
        <v>Q2</v>
      </c>
    </row>
    <row r="23" spans="2:6" ht="12.75" customHeight="1">
      <c r="B23" s="24">
        <v>41882</v>
      </c>
      <c r="C23" s="25" t="str">
        <f t="shared" si="3"/>
        <v>Sun</v>
      </c>
      <c r="D23" s="25">
        <f t="shared" si="0"/>
        <v>2014</v>
      </c>
      <c r="E23" s="25" t="str">
        <f t="shared" si="1"/>
        <v>August</v>
      </c>
      <c r="F23" s="25" t="str">
        <f t="shared" si="2"/>
        <v>Q3</v>
      </c>
    </row>
    <row r="24" spans="2:6" ht="12.75" customHeight="1">
      <c r="B24" s="24">
        <v>42063</v>
      </c>
      <c r="C24" s="25" t="str">
        <f t="shared" si="3"/>
        <v>Sat</v>
      </c>
      <c r="D24" s="25">
        <f t="shared" si="0"/>
        <v>2015</v>
      </c>
      <c r="E24" s="25" t="str">
        <f t="shared" si="1"/>
        <v>February</v>
      </c>
      <c r="F24" s="25" t="str">
        <f t="shared" si="2"/>
        <v>Q1</v>
      </c>
    </row>
    <row r="25" spans="2:6" ht="12.75" customHeight="1">
      <c r="B25" s="24">
        <v>41882</v>
      </c>
      <c r="C25" s="25" t="str">
        <f t="shared" si="3"/>
        <v>Sun</v>
      </c>
      <c r="D25" s="25">
        <f t="shared" si="0"/>
        <v>2014</v>
      </c>
      <c r="E25" s="25" t="str">
        <f t="shared" si="1"/>
        <v>August</v>
      </c>
      <c r="F25" s="25" t="str">
        <f t="shared" si="2"/>
        <v>Q3</v>
      </c>
    </row>
    <row r="26" spans="2:6" ht="12.75" customHeight="1">
      <c r="B26" s="24">
        <v>42369</v>
      </c>
      <c r="C26" s="25" t="str">
        <f t="shared" si="3"/>
        <v>Thu</v>
      </c>
      <c r="D26" s="25">
        <f t="shared" si="0"/>
        <v>2015</v>
      </c>
      <c r="E26" s="25" t="str">
        <f t="shared" si="1"/>
        <v>December</v>
      </c>
      <c r="F26" s="25" t="str">
        <f t="shared" si="2"/>
        <v>Q4</v>
      </c>
    </row>
    <row r="27" spans="2:6" ht="12.75" customHeight="1">
      <c r="B27" s="24">
        <v>42369</v>
      </c>
      <c r="C27" s="25" t="str">
        <f t="shared" si="3"/>
        <v>Thu</v>
      </c>
      <c r="D27" s="25">
        <f t="shared" si="0"/>
        <v>2015</v>
      </c>
      <c r="E27" s="25" t="str">
        <f t="shared" si="1"/>
        <v>December</v>
      </c>
      <c r="F27" s="25" t="str">
        <f t="shared" si="2"/>
        <v>Q4</v>
      </c>
    </row>
    <row r="28" spans="2:6" ht="12.75" customHeight="1">
      <c r="B28" s="24">
        <v>42429</v>
      </c>
      <c r="C28" s="25" t="str">
        <f t="shared" si="3"/>
        <v>Mon</v>
      </c>
      <c r="D28" s="25">
        <f t="shared" si="0"/>
        <v>2016</v>
      </c>
      <c r="E28" s="25" t="str">
        <f t="shared" si="1"/>
        <v>February</v>
      </c>
      <c r="F28" s="25" t="str">
        <f t="shared" si="2"/>
        <v>Q1</v>
      </c>
    </row>
    <row r="29" spans="2:6" ht="12.75" customHeight="1">
      <c r="B29" s="24">
        <v>41729</v>
      </c>
      <c r="C29" s="25" t="str">
        <f t="shared" si="3"/>
        <v>Mon</v>
      </c>
      <c r="D29" s="25">
        <f t="shared" si="0"/>
        <v>2014</v>
      </c>
      <c r="E29" s="25" t="str">
        <f t="shared" si="1"/>
        <v>March</v>
      </c>
      <c r="F29" s="25" t="str">
        <f t="shared" si="2"/>
        <v>Q1</v>
      </c>
    </row>
    <row r="30" spans="2:6" ht="12.75" customHeight="1">
      <c r="B30" s="24">
        <v>42429</v>
      </c>
      <c r="C30" s="25" t="str">
        <f t="shared" si="3"/>
        <v>Mon</v>
      </c>
      <c r="D30" s="25">
        <f t="shared" si="0"/>
        <v>2016</v>
      </c>
      <c r="E30" s="25" t="str">
        <f t="shared" si="1"/>
        <v>February</v>
      </c>
      <c r="F30" s="25" t="str">
        <f t="shared" si="2"/>
        <v>Q1</v>
      </c>
    </row>
    <row r="31" spans="2:6" ht="12.75" customHeight="1">
      <c r="B31" s="24">
        <v>41851</v>
      </c>
      <c r="C31" s="25" t="str">
        <f t="shared" si="3"/>
        <v>Thu</v>
      </c>
      <c r="D31" s="25">
        <f t="shared" si="0"/>
        <v>2014</v>
      </c>
      <c r="E31" s="25" t="str">
        <f t="shared" si="1"/>
        <v>July</v>
      </c>
      <c r="F31" s="25" t="str">
        <f t="shared" si="2"/>
        <v>Q3</v>
      </c>
    </row>
    <row r="32" spans="2:6" ht="12.75" customHeight="1">
      <c r="B32" s="24">
        <v>41851</v>
      </c>
      <c r="C32" s="25" t="str">
        <f t="shared" si="3"/>
        <v>Thu</v>
      </c>
      <c r="D32" s="25">
        <f t="shared" si="0"/>
        <v>2014</v>
      </c>
      <c r="E32" s="25" t="str">
        <f t="shared" si="1"/>
        <v>July</v>
      </c>
      <c r="F32" s="25" t="str">
        <f t="shared" si="2"/>
        <v>Q3</v>
      </c>
    </row>
    <row r="33" spans="2:7" ht="12.75" customHeight="1">
      <c r="B33" s="24">
        <v>42338</v>
      </c>
      <c r="C33" s="25" t="str">
        <f t="shared" si="3"/>
        <v>Mon</v>
      </c>
      <c r="D33" s="25">
        <f t="shared" si="0"/>
        <v>2015</v>
      </c>
      <c r="E33" s="25" t="str">
        <f t="shared" si="1"/>
        <v>November</v>
      </c>
      <c r="F33" s="25" t="str">
        <f t="shared" si="2"/>
        <v>Q4</v>
      </c>
    </row>
    <row r="34" spans="2:7" ht="12.75" customHeight="1">
      <c r="B34" s="24">
        <v>42155</v>
      </c>
      <c r="C34" s="25" t="str">
        <f t="shared" si="3"/>
        <v>Sun</v>
      </c>
      <c r="D34" s="25">
        <f t="shared" si="0"/>
        <v>2015</v>
      </c>
      <c r="E34" s="25" t="str">
        <f t="shared" si="1"/>
        <v>May</v>
      </c>
      <c r="F34" s="25" t="str">
        <f t="shared" si="2"/>
        <v>Q2</v>
      </c>
    </row>
    <row r="35" spans="2:7" ht="12.75" customHeight="1">
      <c r="B35" s="24">
        <v>42400</v>
      </c>
      <c r="C35" s="25" t="str">
        <f t="shared" si="3"/>
        <v>Sun</v>
      </c>
      <c r="D35" s="25">
        <f t="shared" si="0"/>
        <v>2016</v>
      </c>
      <c r="E35" s="25" t="str">
        <f t="shared" si="1"/>
        <v>January</v>
      </c>
      <c r="F35" s="25" t="str">
        <f t="shared" si="2"/>
        <v>Q1</v>
      </c>
    </row>
    <row r="36" spans="2:7" ht="12.75" customHeight="1">
      <c r="B36" s="24">
        <v>41608</v>
      </c>
      <c r="C36" s="25" t="str">
        <f t="shared" si="3"/>
        <v>Sat</v>
      </c>
      <c r="D36" s="25">
        <f t="shared" si="0"/>
        <v>2013</v>
      </c>
      <c r="E36" s="25" t="str">
        <f t="shared" si="1"/>
        <v>November</v>
      </c>
      <c r="F36" s="25" t="str">
        <f t="shared" si="2"/>
        <v>Q4</v>
      </c>
    </row>
    <row r="37" spans="2:7" ht="12.75" customHeight="1">
      <c r="B37" s="24">
        <v>41608</v>
      </c>
      <c r="C37" s="25" t="str">
        <f t="shared" si="3"/>
        <v>Sat</v>
      </c>
      <c r="D37" s="25">
        <f t="shared" si="0"/>
        <v>2013</v>
      </c>
      <c r="E37" s="25" t="str">
        <f t="shared" si="1"/>
        <v>November</v>
      </c>
      <c r="F37" s="25" t="str">
        <f t="shared" si="2"/>
        <v>Q4</v>
      </c>
    </row>
    <row r="38" spans="2:7" ht="12.75" customHeight="1">
      <c r="B38" s="24">
        <v>41578</v>
      </c>
      <c r="C38" s="25" t="str">
        <f t="shared" si="3"/>
        <v>Thu</v>
      </c>
      <c r="D38" s="25">
        <f t="shared" si="0"/>
        <v>2013</v>
      </c>
      <c r="E38" s="25" t="str">
        <f t="shared" si="1"/>
        <v>October</v>
      </c>
      <c r="F38" s="25" t="str">
        <f t="shared" si="2"/>
        <v>Q4</v>
      </c>
      <c r="G38" s="2"/>
    </row>
    <row r="39" spans="2:7" ht="12.75" customHeight="1">
      <c r="B39" s="24">
        <v>41759</v>
      </c>
      <c r="C39" s="25" t="str">
        <f t="shared" si="3"/>
        <v>Wed</v>
      </c>
      <c r="D39" s="25">
        <f t="shared" si="0"/>
        <v>2014</v>
      </c>
      <c r="E39" s="25" t="str">
        <f t="shared" si="1"/>
        <v>April</v>
      </c>
      <c r="F39" s="25" t="str">
        <f t="shared" si="2"/>
        <v>Q2</v>
      </c>
    </row>
    <row r="40" spans="2:7" ht="12.75" customHeight="1">
      <c r="B40" s="24">
        <v>41547</v>
      </c>
      <c r="C40" s="25" t="str">
        <f t="shared" si="3"/>
        <v>Mon</v>
      </c>
      <c r="D40" s="25">
        <f t="shared" si="0"/>
        <v>2013</v>
      </c>
      <c r="E40" s="25" t="str">
        <f t="shared" si="1"/>
        <v>September</v>
      </c>
      <c r="F40" s="25" t="str">
        <f t="shared" si="2"/>
        <v>Q3</v>
      </c>
    </row>
    <row r="41" spans="2:7" ht="12.75" customHeight="1">
      <c r="B41" s="24">
        <v>41608</v>
      </c>
      <c r="C41" s="25" t="str">
        <f t="shared" si="3"/>
        <v>Sat</v>
      </c>
      <c r="D41" s="25">
        <f t="shared" si="0"/>
        <v>2013</v>
      </c>
      <c r="E41" s="25" t="str">
        <f t="shared" si="1"/>
        <v>November</v>
      </c>
      <c r="F41" s="25" t="str">
        <f t="shared" si="2"/>
        <v>Q4</v>
      </c>
    </row>
    <row r="42" spans="2:7" ht="12.75" customHeight="1">
      <c r="B42" s="24">
        <v>41608</v>
      </c>
      <c r="C42" s="25" t="str">
        <f t="shared" si="3"/>
        <v>Sat</v>
      </c>
      <c r="D42" s="25">
        <f t="shared" si="0"/>
        <v>2013</v>
      </c>
      <c r="E42" s="25" t="str">
        <f t="shared" si="1"/>
        <v>November</v>
      </c>
      <c r="F42" s="25" t="str">
        <f t="shared" si="2"/>
        <v>Q4</v>
      </c>
    </row>
    <row r="43" spans="2:7" ht="12.75" customHeight="1">
      <c r="B43" s="24">
        <v>41729</v>
      </c>
      <c r="C43" s="25" t="str">
        <f t="shared" si="3"/>
        <v>Mon</v>
      </c>
      <c r="D43" s="25">
        <f t="shared" si="0"/>
        <v>2014</v>
      </c>
      <c r="E43" s="25" t="str">
        <f t="shared" si="1"/>
        <v>March</v>
      </c>
      <c r="F43" s="25" t="str">
        <f t="shared" si="2"/>
        <v>Q1</v>
      </c>
    </row>
    <row r="44" spans="2:7" ht="12.75" customHeight="1">
      <c r="B44" s="24">
        <v>41820</v>
      </c>
      <c r="C44" s="25" t="str">
        <f t="shared" si="3"/>
        <v>Mon</v>
      </c>
      <c r="D44" s="25">
        <f t="shared" si="0"/>
        <v>2014</v>
      </c>
      <c r="E44" s="25" t="str">
        <f t="shared" si="1"/>
        <v>June</v>
      </c>
      <c r="F44" s="25" t="str">
        <f t="shared" si="2"/>
        <v>Q2</v>
      </c>
    </row>
    <row r="45" spans="2:7" ht="12.75" customHeight="1">
      <c r="B45" s="24">
        <v>41547</v>
      </c>
      <c r="C45" s="25" t="str">
        <f t="shared" si="3"/>
        <v>Mon</v>
      </c>
      <c r="D45" s="25">
        <f t="shared" si="0"/>
        <v>2013</v>
      </c>
      <c r="E45" s="25" t="str">
        <f t="shared" si="1"/>
        <v>September</v>
      </c>
      <c r="F45" s="25" t="str">
        <f t="shared" si="2"/>
        <v>Q3</v>
      </c>
    </row>
    <row r="46" spans="2:7" ht="12.75" customHeight="1">
      <c r="B46" s="24">
        <v>41912</v>
      </c>
      <c r="C46" s="25" t="str">
        <f t="shared" si="3"/>
        <v>Tue</v>
      </c>
      <c r="D46" s="25">
        <f t="shared" si="0"/>
        <v>2014</v>
      </c>
      <c r="E46" s="25" t="str">
        <f t="shared" si="1"/>
        <v>September</v>
      </c>
      <c r="F46" s="25" t="str">
        <f t="shared" si="2"/>
        <v>Q3</v>
      </c>
    </row>
    <row r="47" spans="2:7" ht="12.75" customHeight="1">
      <c r="B47" s="24">
        <v>42369</v>
      </c>
      <c r="C47" s="25" t="str">
        <f t="shared" si="3"/>
        <v>Thu</v>
      </c>
      <c r="D47" s="25">
        <f t="shared" si="0"/>
        <v>2015</v>
      </c>
      <c r="E47" s="25" t="str">
        <f t="shared" si="1"/>
        <v>December</v>
      </c>
      <c r="F47" s="25" t="str">
        <f t="shared" si="2"/>
        <v>Q4</v>
      </c>
    </row>
    <row r="48" spans="2:7" ht="12.75" customHeight="1">
      <c r="B48" s="24">
        <v>41729</v>
      </c>
      <c r="C48" s="25" t="str">
        <f t="shared" si="3"/>
        <v>Mon</v>
      </c>
      <c r="D48" s="25">
        <f t="shared" si="0"/>
        <v>2014</v>
      </c>
      <c r="E48" s="25" t="str">
        <f t="shared" si="1"/>
        <v>March</v>
      </c>
      <c r="F48" s="25" t="str">
        <f t="shared" si="2"/>
        <v>Q1</v>
      </c>
    </row>
    <row r="49" spans="2:6" ht="12.75" customHeight="1">
      <c r="B49" s="24">
        <v>41820</v>
      </c>
      <c r="C49" s="25" t="str">
        <f t="shared" si="3"/>
        <v>Mon</v>
      </c>
      <c r="D49" s="25">
        <f t="shared" si="0"/>
        <v>2014</v>
      </c>
      <c r="E49" s="25" t="str">
        <f t="shared" si="1"/>
        <v>June</v>
      </c>
      <c r="F49" s="25" t="str">
        <f t="shared" si="2"/>
        <v>Q2</v>
      </c>
    </row>
    <row r="50" spans="2:6" ht="12.75" customHeight="1">
      <c r="B50" s="24">
        <v>43281</v>
      </c>
      <c r="C50" s="25" t="str">
        <f t="shared" si="3"/>
        <v>Sat</v>
      </c>
      <c r="D50" s="25">
        <f t="shared" si="0"/>
        <v>2018</v>
      </c>
      <c r="E50" s="25" t="str">
        <f t="shared" si="1"/>
        <v>June</v>
      </c>
      <c r="F50" s="25" t="str">
        <f t="shared" si="2"/>
        <v>Q2</v>
      </c>
    </row>
    <row r="51" spans="2:6" ht="12.75" customHeight="1">
      <c r="B51" s="24">
        <v>41578</v>
      </c>
      <c r="C51" s="25" t="str">
        <f t="shared" si="3"/>
        <v>Thu</v>
      </c>
      <c r="D51" s="25">
        <f t="shared" si="0"/>
        <v>2013</v>
      </c>
      <c r="E51" s="25" t="str">
        <f t="shared" si="1"/>
        <v>October</v>
      </c>
      <c r="F51" s="25" t="str">
        <f t="shared" si="2"/>
        <v>Q4</v>
      </c>
    </row>
    <row r="52" spans="2:6" ht="12.75" customHeight="1">
      <c r="B52" s="24">
        <v>41608</v>
      </c>
      <c r="C52" s="25" t="str">
        <f t="shared" si="3"/>
        <v>Sat</v>
      </c>
      <c r="D52" s="25">
        <f t="shared" si="0"/>
        <v>2013</v>
      </c>
      <c r="E52" s="25" t="str">
        <f t="shared" si="1"/>
        <v>November</v>
      </c>
      <c r="F52" s="25" t="str">
        <f t="shared" si="2"/>
        <v>Q4</v>
      </c>
    </row>
    <row r="53" spans="2:6" ht="12.75" customHeight="1">
      <c r="B53" s="24">
        <v>42462</v>
      </c>
      <c r="C53" s="25" t="str">
        <f t="shared" si="3"/>
        <v>Sat</v>
      </c>
      <c r="D53" s="25">
        <f t="shared" si="0"/>
        <v>2016</v>
      </c>
      <c r="E53" s="25" t="str">
        <f t="shared" si="1"/>
        <v>April</v>
      </c>
      <c r="F53" s="25" t="str">
        <f t="shared" si="2"/>
        <v>Q2</v>
      </c>
    </row>
    <row r="54" spans="2:6" ht="12.75" customHeight="1">
      <c r="B54" s="24">
        <v>41820</v>
      </c>
      <c r="C54" s="25" t="str">
        <f t="shared" si="3"/>
        <v>Mon</v>
      </c>
      <c r="D54" s="25">
        <f t="shared" si="0"/>
        <v>2014</v>
      </c>
      <c r="E54" s="25" t="str">
        <f t="shared" si="1"/>
        <v>June</v>
      </c>
      <c r="F54" s="25" t="str">
        <f t="shared" si="2"/>
        <v>Q2</v>
      </c>
    </row>
    <row r="55" spans="2:6" ht="12.75" customHeight="1">
      <c r="B55" s="24">
        <v>41851</v>
      </c>
      <c r="C55" s="25" t="str">
        <f t="shared" si="3"/>
        <v>Thu</v>
      </c>
      <c r="D55" s="25">
        <f t="shared" si="0"/>
        <v>2014</v>
      </c>
      <c r="E55" s="25" t="str">
        <f t="shared" si="1"/>
        <v>July</v>
      </c>
      <c r="F55" s="25" t="str">
        <f t="shared" si="2"/>
        <v>Q3</v>
      </c>
    </row>
    <row r="56" spans="2:6" ht="12.75" customHeight="1">
      <c r="B56" s="24">
        <v>43008</v>
      </c>
      <c r="C56" s="25" t="str">
        <f t="shared" si="3"/>
        <v>Sat</v>
      </c>
      <c r="D56" s="25">
        <f t="shared" si="0"/>
        <v>2017</v>
      </c>
      <c r="E56" s="25" t="str">
        <f t="shared" si="1"/>
        <v>September</v>
      </c>
      <c r="F56" s="25" t="str">
        <f t="shared" si="2"/>
        <v>Q3</v>
      </c>
    </row>
    <row r="57" spans="2:6" ht="12.75" customHeight="1">
      <c r="B57" s="24">
        <v>41729</v>
      </c>
      <c r="C57" s="25" t="str">
        <f t="shared" si="3"/>
        <v>Mon</v>
      </c>
      <c r="D57" s="25">
        <f t="shared" si="0"/>
        <v>2014</v>
      </c>
      <c r="E57" s="25" t="str">
        <f t="shared" si="1"/>
        <v>March</v>
      </c>
      <c r="F57" s="25" t="str">
        <f t="shared" si="2"/>
        <v>Q1</v>
      </c>
    </row>
    <row r="58" spans="2:6" ht="12.75" customHeight="1">
      <c r="B58" s="24">
        <v>41729</v>
      </c>
      <c r="C58" s="25" t="str">
        <f t="shared" si="3"/>
        <v>Mon</v>
      </c>
      <c r="D58" s="25">
        <f t="shared" si="0"/>
        <v>2014</v>
      </c>
      <c r="E58" s="25" t="str">
        <f t="shared" si="1"/>
        <v>March</v>
      </c>
      <c r="F58" s="25" t="str">
        <f t="shared" si="2"/>
        <v>Q1</v>
      </c>
    </row>
    <row r="59" spans="2:6" ht="12.75" customHeight="1">
      <c r="B59" s="24">
        <v>41517</v>
      </c>
      <c r="C59" s="25" t="str">
        <f t="shared" si="3"/>
        <v>Sat</v>
      </c>
      <c r="D59" s="25">
        <f t="shared" si="0"/>
        <v>2013</v>
      </c>
      <c r="E59" s="25" t="str">
        <f t="shared" si="1"/>
        <v>August</v>
      </c>
      <c r="F59" s="25" t="str">
        <f t="shared" si="2"/>
        <v>Q3</v>
      </c>
    </row>
    <row r="60" spans="2:6" ht="12.75" customHeight="1">
      <c r="B60" s="24">
        <v>43008</v>
      </c>
      <c r="C60" s="25" t="str">
        <f t="shared" si="3"/>
        <v>Sat</v>
      </c>
      <c r="D60" s="25">
        <f t="shared" si="0"/>
        <v>2017</v>
      </c>
      <c r="E60" s="25" t="str">
        <f t="shared" si="1"/>
        <v>September</v>
      </c>
      <c r="F60" s="25" t="str">
        <f t="shared" si="2"/>
        <v>Q3</v>
      </c>
    </row>
    <row r="61" spans="2:6" ht="12.75" customHeight="1">
      <c r="B61" s="24">
        <v>42429</v>
      </c>
      <c r="C61" s="25" t="str">
        <f t="shared" si="3"/>
        <v>Mon</v>
      </c>
      <c r="D61" s="25">
        <f t="shared" si="0"/>
        <v>2016</v>
      </c>
      <c r="E61" s="25" t="str">
        <f t="shared" si="1"/>
        <v>February</v>
      </c>
      <c r="F61" s="25" t="str">
        <f t="shared" si="2"/>
        <v>Q1</v>
      </c>
    </row>
    <row r="62" spans="2:6" ht="12.75" customHeight="1">
      <c r="B62" s="24">
        <v>43008</v>
      </c>
      <c r="C62" s="25" t="str">
        <f t="shared" si="3"/>
        <v>Sat</v>
      </c>
      <c r="D62" s="25">
        <f t="shared" si="0"/>
        <v>2017</v>
      </c>
      <c r="E62" s="25" t="str">
        <f t="shared" si="1"/>
        <v>September</v>
      </c>
      <c r="F62" s="25" t="str">
        <f t="shared" si="2"/>
        <v>Q3</v>
      </c>
    </row>
    <row r="63" spans="2:6" ht="12.75" customHeight="1">
      <c r="B63" s="24">
        <v>42369</v>
      </c>
      <c r="C63" s="25" t="str">
        <f t="shared" si="3"/>
        <v>Thu</v>
      </c>
      <c r="D63" s="25">
        <f t="shared" si="0"/>
        <v>2015</v>
      </c>
      <c r="E63" s="25" t="str">
        <f t="shared" si="1"/>
        <v>December</v>
      </c>
      <c r="F63" s="25" t="str">
        <f t="shared" si="2"/>
        <v>Q4</v>
      </c>
    </row>
    <row r="64" spans="2:6" ht="12.75" customHeight="1">
      <c r="B64" s="24">
        <v>42155</v>
      </c>
      <c r="C64" s="25" t="str">
        <f t="shared" si="3"/>
        <v>Sun</v>
      </c>
      <c r="D64" s="25">
        <f t="shared" si="0"/>
        <v>2015</v>
      </c>
      <c r="E64" s="25" t="str">
        <f t="shared" si="1"/>
        <v>May</v>
      </c>
      <c r="F64" s="25" t="str">
        <f t="shared" si="2"/>
        <v>Q2</v>
      </c>
    </row>
    <row r="65" spans="2:6" ht="12.75" customHeight="1">
      <c r="B65" s="24">
        <v>42155</v>
      </c>
      <c r="C65" s="25" t="str">
        <f t="shared" si="3"/>
        <v>Sun</v>
      </c>
      <c r="D65" s="25">
        <f t="shared" si="0"/>
        <v>2015</v>
      </c>
      <c r="E65" s="25" t="str">
        <f t="shared" si="1"/>
        <v>May</v>
      </c>
      <c r="F65" s="25" t="str">
        <f t="shared" si="2"/>
        <v>Q2</v>
      </c>
    </row>
    <row r="66" spans="2:6" ht="12.75" customHeight="1">
      <c r="B66" s="24">
        <v>41547</v>
      </c>
      <c r="C66" s="25" t="str">
        <f t="shared" si="3"/>
        <v>Mon</v>
      </c>
      <c r="D66" s="25">
        <f t="shared" si="0"/>
        <v>2013</v>
      </c>
      <c r="E66" s="25" t="str">
        <f t="shared" si="1"/>
        <v>September</v>
      </c>
      <c r="F66" s="25" t="str">
        <f t="shared" si="2"/>
        <v>Q3</v>
      </c>
    </row>
    <row r="67" spans="2:6" ht="12.75" customHeight="1">
      <c r="B67" s="24">
        <v>42277</v>
      </c>
      <c r="C67" s="25" t="str">
        <f t="shared" si="3"/>
        <v>Wed</v>
      </c>
      <c r="D67" s="25">
        <f t="shared" si="0"/>
        <v>2015</v>
      </c>
      <c r="E67" s="25" t="str">
        <f t="shared" si="1"/>
        <v>September</v>
      </c>
      <c r="F67" s="25" t="str">
        <f t="shared" si="2"/>
        <v>Q3</v>
      </c>
    </row>
    <row r="68" spans="2:6" ht="12.75" customHeight="1">
      <c r="B68" s="24">
        <v>42490</v>
      </c>
      <c r="C68" s="25" t="str">
        <f t="shared" si="3"/>
        <v>Sat</v>
      </c>
      <c r="D68" s="25">
        <f t="shared" si="0"/>
        <v>2016</v>
      </c>
      <c r="E68" s="25" t="str">
        <f t="shared" si="1"/>
        <v>April</v>
      </c>
      <c r="F68" s="25" t="str">
        <f t="shared" si="2"/>
        <v>Q2</v>
      </c>
    </row>
    <row r="69" spans="2:6" ht="12.75" customHeight="1">
      <c r="B69" s="24">
        <v>42490</v>
      </c>
      <c r="C69" s="25" t="str">
        <f t="shared" si="3"/>
        <v>Sat</v>
      </c>
      <c r="D69" s="25">
        <f t="shared" ref="D69:D105" si="4" xml:space="preserve"> YEAR(B69)</f>
        <v>2016</v>
      </c>
      <c r="E69" s="25" t="str">
        <f t="shared" ref="E69:E105" si="5" xml:space="preserve"> TEXT(B69, "mmmm")</f>
        <v>April</v>
      </c>
      <c r="F69" s="25" t="str">
        <f t="shared" ref="F69:F105" si="6" xml:space="preserve"> "Q" &amp; ROUNDUP(MONTH(B69)/3, 0)</f>
        <v>Q2</v>
      </c>
    </row>
    <row r="70" spans="2:6" ht="12.75" customHeight="1">
      <c r="B70" s="24">
        <v>41729</v>
      </c>
      <c r="C70" s="25" t="str">
        <f t="shared" ref="C70:C105" si="7">CHOOSE(WEEKDAY(B70), "Sun", "Mon", "Tue", "Wed", "Thu", "Fri", "Sat")</f>
        <v>Mon</v>
      </c>
      <c r="D70" s="25">
        <f t="shared" si="4"/>
        <v>2014</v>
      </c>
      <c r="E70" s="25" t="str">
        <f t="shared" si="5"/>
        <v>March</v>
      </c>
      <c r="F70" s="25" t="str">
        <f t="shared" si="6"/>
        <v>Q1</v>
      </c>
    </row>
    <row r="71" spans="2:6" ht="12.75" customHeight="1">
      <c r="B71" s="24">
        <v>41578</v>
      </c>
      <c r="C71" s="25" t="str">
        <f t="shared" si="7"/>
        <v>Thu</v>
      </c>
      <c r="D71" s="25">
        <f t="shared" si="4"/>
        <v>2013</v>
      </c>
      <c r="E71" s="25" t="str">
        <f t="shared" si="5"/>
        <v>October</v>
      </c>
      <c r="F71" s="25" t="str">
        <f t="shared" si="6"/>
        <v>Q4</v>
      </c>
    </row>
    <row r="72" spans="2:6" ht="12.75" customHeight="1">
      <c r="B72" s="24">
        <v>42094</v>
      </c>
      <c r="C72" s="25" t="str">
        <f t="shared" si="7"/>
        <v>Tue</v>
      </c>
      <c r="D72" s="25">
        <f t="shared" si="4"/>
        <v>2015</v>
      </c>
      <c r="E72" s="25" t="str">
        <f t="shared" si="5"/>
        <v>March</v>
      </c>
      <c r="F72" s="25" t="str">
        <f t="shared" si="6"/>
        <v>Q1</v>
      </c>
    </row>
    <row r="73" spans="2:6" ht="12.75" customHeight="1">
      <c r="B73" s="24">
        <v>41973</v>
      </c>
      <c r="C73" s="25" t="str">
        <f t="shared" si="7"/>
        <v>Sun</v>
      </c>
      <c r="D73" s="25">
        <f t="shared" si="4"/>
        <v>2014</v>
      </c>
      <c r="E73" s="25" t="str">
        <f t="shared" si="5"/>
        <v>November</v>
      </c>
      <c r="F73" s="25" t="str">
        <f t="shared" si="6"/>
        <v>Q4</v>
      </c>
    </row>
    <row r="74" spans="2:6" ht="12.75" customHeight="1">
      <c r="B74" s="24">
        <v>41973</v>
      </c>
      <c r="C74" s="25" t="str">
        <f t="shared" si="7"/>
        <v>Sun</v>
      </c>
      <c r="D74" s="25">
        <f t="shared" si="4"/>
        <v>2014</v>
      </c>
      <c r="E74" s="25" t="str">
        <f t="shared" si="5"/>
        <v>November</v>
      </c>
      <c r="F74" s="25" t="str">
        <f t="shared" si="6"/>
        <v>Q4</v>
      </c>
    </row>
    <row r="75" spans="2:6" ht="12.75" customHeight="1">
      <c r="B75" s="24">
        <v>41820</v>
      </c>
      <c r="C75" s="25" t="str">
        <f t="shared" si="7"/>
        <v>Mon</v>
      </c>
      <c r="D75" s="25">
        <f t="shared" si="4"/>
        <v>2014</v>
      </c>
      <c r="E75" s="25" t="str">
        <f t="shared" si="5"/>
        <v>June</v>
      </c>
      <c r="F75" s="25" t="str">
        <f t="shared" si="6"/>
        <v>Q2</v>
      </c>
    </row>
    <row r="76" spans="2:6" ht="12.75" customHeight="1">
      <c r="B76" s="24">
        <v>41759</v>
      </c>
      <c r="C76" s="25" t="str">
        <f t="shared" si="7"/>
        <v>Wed</v>
      </c>
      <c r="D76" s="25">
        <f t="shared" si="4"/>
        <v>2014</v>
      </c>
      <c r="E76" s="25" t="str">
        <f t="shared" si="5"/>
        <v>April</v>
      </c>
      <c r="F76" s="25" t="str">
        <f t="shared" si="6"/>
        <v>Q2</v>
      </c>
    </row>
    <row r="77" spans="2:6" ht="12.75" customHeight="1">
      <c r="B77" s="24">
        <v>42155</v>
      </c>
      <c r="C77" s="25" t="str">
        <f t="shared" si="7"/>
        <v>Sun</v>
      </c>
      <c r="D77" s="25">
        <f t="shared" si="4"/>
        <v>2015</v>
      </c>
      <c r="E77" s="25" t="str">
        <f t="shared" si="5"/>
        <v>May</v>
      </c>
      <c r="F77" s="25" t="str">
        <f t="shared" si="6"/>
        <v>Q2</v>
      </c>
    </row>
    <row r="78" spans="2:6" ht="12.75" customHeight="1">
      <c r="B78" s="24">
        <v>42369</v>
      </c>
      <c r="C78" s="25" t="str">
        <f t="shared" si="7"/>
        <v>Thu</v>
      </c>
      <c r="D78" s="25">
        <f t="shared" si="4"/>
        <v>2015</v>
      </c>
      <c r="E78" s="25" t="str">
        <f t="shared" si="5"/>
        <v>December</v>
      </c>
      <c r="F78" s="25" t="str">
        <f t="shared" si="6"/>
        <v>Q4</v>
      </c>
    </row>
    <row r="79" spans="2:6" ht="12.75" customHeight="1">
      <c r="B79" s="24">
        <v>41973</v>
      </c>
      <c r="C79" s="25" t="str">
        <f t="shared" si="7"/>
        <v>Sun</v>
      </c>
      <c r="D79" s="25">
        <f t="shared" si="4"/>
        <v>2014</v>
      </c>
      <c r="E79" s="25" t="str">
        <f t="shared" si="5"/>
        <v>November</v>
      </c>
      <c r="F79" s="25" t="str">
        <f t="shared" si="6"/>
        <v>Q4</v>
      </c>
    </row>
    <row r="80" spans="2:6" ht="12.75" customHeight="1">
      <c r="B80" s="24">
        <v>41973</v>
      </c>
      <c r="C80" s="25" t="str">
        <f t="shared" si="7"/>
        <v>Sun</v>
      </c>
      <c r="D80" s="25">
        <f t="shared" si="4"/>
        <v>2014</v>
      </c>
      <c r="E80" s="25" t="str">
        <f t="shared" si="5"/>
        <v>November</v>
      </c>
      <c r="F80" s="25" t="str">
        <f t="shared" si="6"/>
        <v>Q4</v>
      </c>
    </row>
    <row r="81" spans="2:6" ht="12.75" customHeight="1">
      <c r="B81" s="24">
        <v>41729</v>
      </c>
      <c r="C81" s="25" t="str">
        <f t="shared" si="7"/>
        <v>Mon</v>
      </c>
      <c r="D81" s="25">
        <f t="shared" si="4"/>
        <v>2014</v>
      </c>
      <c r="E81" s="25" t="str">
        <f t="shared" si="5"/>
        <v>March</v>
      </c>
      <c r="F81" s="25" t="str">
        <f t="shared" si="6"/>
        <v>Q1</v>
      </c>
    </row>
    <row r="82" spans="2:6" ht="12.75" customHeight="1">
      <c r="B82" s="24">
        <v>42462</v>
      </c>
      <c r="C82" s="25" t="str">
        <f t="shared" si="7"/>
        <v>Sat</v>
      </c>
      <c r="D82" s="25">
        <f t="shared" si="4"/>
        <v>2016</v>
      </c>
      <c r="E82" s="25" t="str">
        <f t="shared" si="5"/>
        <v>April</v>
      </c>
      <c r="F82" s="25" t="str">
        <f t="shared" si="6"/>
        <v>Q2</v>
      </c>
    </row>
    <row r="83" spans="2:6" ht="12.75" customHeight="1">
      <c r="B83" s="24">
        <v>41882</v>
      </c>
      <c r="C83" s="25" t="str">
        <f t="shared" si="7"/>
        <v>Sun</v>
      </c>
      <c r="D83" s="25">
        <f t="shared" si="4"/>
        <v>2014</v>
      </c>
      <c r="E83" s="25" t="str">
        <f t="shared" si="5"/>
        <v>August</v>
      </c>
      <c r="F83" s="25" t="str">
        <f t="shared" si="6"/>
        <v>Q3</v>
      </c>
    </row>
    <row r="84" spans="2:6" ht="12.75" customHeight="1">
      <c r="B84" s="24">
        <v>41729</v>
      </c>
      <c r="C84" s="25" t="str">
        <f t="shared" si="7"/>
        <v>Mon</v>
      </c>
      <c r="D84" s="25">
        <f t="shared" si="4"/>
        <v>2014</v>
      </c>
      <c r="E84" s="25" t="str">
        <f t="shared" si="5"/>
        <v>March</v>
      </c>
      <c r="F84" s="25" t="str">
        <f t="shared" si="6"/>
        <v>Q1</v>
      </c>
    </row>
    <row r="85" spans="2:6" ht="12.75" customHeight="1">
      <c r="B85" s="24">
        <v>41547</v>
      </c>
      <c r="C85" s="25" t="str">
        <f t="shared" si="7"/>
        <v>Mon</v>
      </c>
      <c r="D85" s="25">
        <f t="shared" si="4"/>
        <v>2013</v>
      </c>
      <c r="E85" s="25" t="str">
        <f t="shared" si="5"/>
        <v>September</v>
      </c>
      <c r="F85" s="25" t="str">
        <f t="shared" si="6"/>
        <v>Q3</v>
      </c>
    </row>
    <row r="86" spans="2:6" ht="12.75" customHeight="1">
      <c r="B86" s="24">
        <v>41639</v>
      </c>
      <c r="C86" s="25" t="str">
        <f t="shared" si="7"/>
        <v>Tue</v>
      </c>
      <c r="D86" s="25">
        <f t="shared" si="4"/>
        <v>2013</v>
      </c>
      <c r="E86" s="25" t="str">
        <f t="shared" si="5"/>
        <v>December</v>
      </c>
      <c r="F86" s="25" t="str">
        <f t="shared" si="6"/>
        <v>Q4</v>
      </c>
    </row>
    <row r="87" spans="2:6" ht="12.75" customHeight="1">
      <c r="B87" s="24">
        <v>41729</v>
      </c>
      <c r="C87" s="25" t="str">
        <f t="shared" si="7"/>
        <v>Mon</v>
      </c>
      <c r="D87" s="25">
        <f t="shared" si="4"/>
        <v>2014</v>
      </c>
      <c r="E87" s="25" t="str">
        <f t="shared" si="5"/>
        <v>March</v>
      </c>
      <c r="F87" s="25" t="str">
        <f t="shared" si="6"/>
        <v>Q1</v>
      </c>
    </row>
    <row r="88" spans="2:6" ht="12.75" customHeight="1">
      <c r="B88" s="24">
        <v>43008</v>
      </c>
      <c r="C88" s="25" t="str">
        <f t="shared" si="7"/>
        <v>Sat</v>
      </c>
      <c r="D88" s="25">
        <f t="shared" si="4"/>
        <v>2017</v>
      </c>
      <c r="E88" s="25" t="str">
        <f t="shared" si="5"/>
        <v>September</v>
      </c>
      <c r="F88" s="25" t="str">
        <f t="shared" si="6"/>
        <v>Q3</v>
      </c>
    </row>
    <row r="89" spans="2:6" ht="12.75" customHeight="1">
      <c r="B89" s="24">
        <v>41643</v>
      </c>
      <c r="C89" s="25" t="str">
        <f t="shared" si="7"/>
        <v>Sat</v>
      </c>
      <c r="D89" s="25">
        <f t="shared" si="4"/>
        <v>2014</v>
      </c>
      <c r="E89" s="25" t="str">
        <f t="shared" si="5"/>
        <v>January</v>
      </c>
      <c r="F89" s="25" t="str">
        <f t="shared" si="6"/>
        <v>Q1</v>
      </c>
    </row>
    <row r="90" spans="2:6" ht="12.75" customHeight="1">
      <c r="B90" s="24">
        <v>43008</v>
      </c>
      <c r="C90" s="25" t="str">
        <f t="shared" si="7"/>
        <v>Sat</v>
      </c>
      <c r="D90" s="25">
        <f t="shared" si="4"/>
        <v>2017</v>
      </c>
      <c r="E90" s="25" t="str">
        <f t="shared" si="5"/>
        <v>September</v>
      </c>
      <c r="F90" s="25" t="str">
        <f t="shared" si="6"/>
        <v>Q3</v>
      </c>
    </row>
    <row r="91" spans="2:6" ht="12.75" customHeight="1">
      <c r="B91" s="24">
        <v>41729</v>
      </c>
      <c r="C91" s="25" t="str">
        <f t="shared" si="7"/>
        <v>Mon</v>
      </c>
      <c r="D91" s="25">
        <f t="shared" si="4"/>
        <v>2014</v>
      </c>
      <c r="E91" s="25" t="str">
        <f t="shared" si="5"/>
        <v>March</v>
      </c>
      <c r="F91" s="25" t="str">
        <f t="shared" si="6"/>
        <v>Q1</v>
      </c>
    </row>
    <row r="92" spans="2:6" ht="12.75" customHeight="1">
      <c r="B92" s="24">
        <v>42277</v>
      </c>
      <c r="C92" s="25" t="str">
        <f t="shared" si="7"/>
        <v>Wed</v>
      </c>
      <c r="D92" s="25">
        <f t="shared" si="4"/>
        <v>2015</v>
      </c>
      <c r="E92" s="25" t="str">
        <f t="shared" si="5"/>
        <v>September</v>
      </c>
      <c r="F92" s="25" t="str">
        <f t="shared" si="6"/>
        <v>Q3</v>
      </c>
    </row>
    <row r="93" spans="2:6" ht="12.75" customHeight="1">
      <c r="B93" s="24">
        <v>41578</v>
      </c>
      <c r="C93" s="25" t="str">
        <f t="shared" si="7"/>
        <v>Thu</v>
      </c>
      <c r="D93" s="25">
        <f t="shared" si="4"/>
        <v>2013</v>
      </c>
      <c r="E93" s="25" t="str">
        <f t="shared" si="5"/>
        <v>October</v>
      </c>
      <c r="F93" s="25" t="str">
        <f t="shared" si="6"/>
        <v>Q4</v>
      </c>
    </row>
    <row r="94" spans="2:6" ht="12.75" customHeight="1">
      <c r="B94" s="24">
        <v>42735</v>
      </c>
      <c r="C94" s="25" t="str">
        <f t="shared" si="7"/>
        <v>Sat</v>
      </c>
      <c r="D94" s="25">
        <f t="shared" si="4"/>
        <v>2016</v>
      </c>
      <c r="E94" s="25" t="str">
        <f t="shared" si="5"/>
        <v>December</v>
      </c>
      <c r="F94" s="25" t="str">
        <f t="shared" si="6"/>
        <v>Q4</v>
      </c>
    </row>
    <row r="95" spans="2:6" ht="12.75" customHeight="1">
      <c r="B95" s="24">
        <v>41882</v>
      </c>
      <c r="C95" s="25" t="str">
        <f t="shared" si="7"/>
        <v>Sun</v>
      </c>
      <c r="D95" s="25">
        <f t="shared" si="4"/>
        <v>2014</v>
      </c>
      <c r="E95" s="25" t="str">
        <f t="shared" si="5"/>
        <v>August</v>
      </c>
      <c r="F95" s="25" t="str">
        <f t="shared" si="6"/>
        <v>Q3</v>
      </c>
    </row>
    <row r="96" spans="2:6" ht="12.75" customHeight="1">
      <c r="B96" s="24">
        <v>41639</v>
      </c>
      <c r="C96" s="25" t="str">
        <f t="shared" si="7"/>
        <v>Tue</v>
      </c>
      <c r="D96" s="25">
        <f t="shared" si="4"/>
        <v>2013</v>
      </c>
      <c r="E96" s="25" t="str">
        <f t="shared" si="5"/>
        <v>December</v>
      </c>
      <c r="F96" s="25" t="str">
        <f t="shared" si="6"/>
        <v>Q4</v>
      </c>
    </row>
    <row r="97" spans="2:6" ht="12.75" customHeight="1">
      <c r="B97" s="24">
        <v>42462</v>
      </c>
      <c r="C97" s="25" t="str">
        <f t="shared" si="7"/>
        <v>Sat</v>
      </c>
      <c r="D97" s="25">
        <f t="shared" si="4"/>
        <v>2016</v>
      </c>
      <c r="E97" s="25" t="str">
        <f t="shared" si="5"/>
        <v>April</v>
      </c>
      <c r="F97" s="25" t="str">
        <f t="shared" si="6"/>
        <v>Q2</v>
      </c>
    </row>
    <row r="98" spans="2:6" ht="12.75" customHeight="1">
      <c r="B98" s="24">
        <v>41547</v>
      </c>
      <c r="C98" s="25" t="str">
        <f t="shared" si="7"/>
        <v>Mon</v>
      </c>
      <c r="D98" s="25">
        <f t="shared" si="4"/>
        <v>2013</v>
      </c>
      <c r="E98" s="25" t="str">
        <f t="shared" si="5"/>
        <v>September</v>
      </c>
      <c r="F98" s="25" t="str">
        <f t="shared" si="6"/>
        <v>Q3</v>
      </c>
    </row>
    <row r="99" spans="2:6" ht="12.75" customHeight="1">
      <c r="B99" s="24">
        <v>43008</v>
      </c>
      <c r="C99" s="25" t="str">
        <f t="shared" si="7"/>
        <v>Sat</v>
      </c>
      <c r="D99" s="25">
        <f t="shared" si="4"/>
        <v>2017</v>
      </c>
      <c r="E99" s="25" t="str">
        <f t="shared" si="5"/>
        <v>September</v>
      </c>
      <c r="F99" s="25" t="str">
        <f t="shared" si="6"/>
        <v>Q3</v>
      </c>
    </row>
    <row r="100" spans="2:6" ht="12.75" customHeight="1">
      <c r="B100" s="24">
        <v>41639</v>
      </c>
      <c r="C100" s="25" t="str">
        <f t="shared" si="7"/>
        <v>Tue</v>
      </c>
      <c r="D100" s="25">
        <f t="shared" si="4"/>
        <v>2013</v>
      </c>
      <c r="E100" s="25" t="str">
        <f t="shared" si="5"/>
        <v>December</v>
      </c>
      <c r="F100" s="25" t="str">
        <f t="shared" si="6"/>
        <v>Q4</v>
      </c>
    </row>
    <row r="101" spans="2:6" ht="12.75" customHeight="1">
      <c r="B101" s="24">
        <v>42369</v>
      </c>
      <c r="C101" s="25" t="str">
        <f t="shared" si="7"/>
        <v>Thu</v>
      </c>
      <c r="D101" s="25">
        <f t="shared" si="4"/>
        <v>2015</v>
      </c>
      <c r="E101" s="25" t="str">
        <f t="shared" si="5"/>
        <v>December</v>
      </c>
      <c r="F101" s="25" t="str">
        <f t="shared" si="6"/>
        <v>Q4</v>
      </c>
    </row>
    <row r="102" spans="2:6" ht="12.75" customHeight="1">
      <c r="B102" s="24">
        <v>42522</v>
      </c>
      <c r="C102" s="25" t="str">
        <f t="shared" si="7"/>
        <v>Wed</v>
      </c>
      <c r="D102" s="25">
        <f t="shared" si="4"/>
        <v>2016</v>
      </c>
      <c r="E102" s="25" t="str">
        <f t="shared" si="5"/>
        <v>June</v>
      </c>
      <c r="F102" s="25" t="str">
        <f t="shared" si="6"/>
        <v>Q2</v>
      </c>
    </row>
    <row r="103" spans="2:6" ht="12.75" customHeight="1">
      <c r="B103" s="24">
        <v>42094</v>
      </c>
      <c r="C103" s="25" t="str">
        <f t="shared" si="7"/>
        <v>Tue</v>
      </c>
      <c r="D103" s="25">
        <f t="shared" si="4"/>
        <v>2015</v>
      </c>
      <c r="E103" s="25" t="str">
        <f t="shared" si="5"/>
        <v>March</v>
      </c>
      <c r="F103" s="25" t="str">
        <f t="shared" si="6"/>
        <v>Q1</v>
      </c>
    </row>
    <row r="104" spans="2:6" ht="12.75" customHeight="1">
      <c r="B104" s="24">
        <v>42369</v>
      </c>
      <c r="C104" s="25" t="str">
        <f t="shared" si="7"/>
        <v>Thu</v>
      </c>
      <c r="D104" s="25">
        <f t="shared" si="4"/>
        <v>2015</v>
      </c>
      <c r="E104" s="25" t="str">
        <f t="shared" si="5"/>
        <v>December</v>
      </c>
      <c r="F104" s="25" t="str">
        <f t="shared" si="6"/>
        <v>Q4</v>
      </c>
    </row>
    <row r="105" spans="2:6" ht="12.75" customHeight="1">
      <c r="B105" s="24">
        <v>41547</v>
      </c>
      <c r="C105" s="25" t="str">
        <f t="shared" si="7"/>
        <v>Mon</v>
      </c>
      <c r="D105" s="25">
        <f t="shared" si="4"/>
        <v>2013</v>
      </c>
      <c r="E105" s="25" t="str">
        <f t="shared" si="5"/>
        <v>September</v>
      </c>
      <c r="F105" s="25" t="str">
        <f t="shared" si="6"/>
        <v>Q3</v>
      </c>
    </row>
  </sheetData>
  <hyperlinks>
    <hyperlink ref="B1" location="TOC!A1" display="Return to TOC" xr:uid="{00000000-0004-0000-0500-000000000000}"/>
  </hyperlinks>
  <pageMargins left="0.75" right="0.75" top="1" bottom="1" header="0" footer="0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3CCCC"/>
  </sheetPr>
  <dimension ref="A1:L100"/>
  <sheetViews>
    <sheetView topLeftCell="A4" workbookViewId="0">
      <selection activeCell="E15" sqref="E15"/>
    </sheetView>
  </sheetViews>
  <sheetFormatPr defaultColWidth="14.44140625" defaultRowHeight="15" customHeight="1"/>
  <cols>
    <col min="1" max="1" width="14.44140625" customWidth="1"/>
    <col min="2" max="2" width="14.5546875" customWidth="1"/>
    <col min="3" max="3" width="15.5546875" customWidth="1"/>
    <col min="4" max="4" width="22.5546875" customWidth="1"/>
    <col min="5" max="5" width="11.6640625" customWidth="1"/>
    <col min="6" max="7" width="17" customWidth="1"/>
    <col min="8" max="8" width="10.88671875" customWidth="1"/>
    <col min="9" max="12" width="8.6640625" customWidth="1"/>
  </cols>
  <sheetData>
    <row r="1" spans="1:7" ht="12.75" customHeight="1">
      <c r="B1" s="2" t="s">
        <v>20</v>
      </c>
      <c r="D1" t="s">
        <v>276</v>
      </c>
    </row>
    <row r="2" spans="1:7" ht="12.75" customHeight="1"/>
    <row r="3" spans="1:7" ht="12.75" customHeight="1"/>
    <row r="4" spans="1:7" ht="12.75" customHeight="1"/>
    <row r="5" spans="1:7" ht="12.75" customHeight="1"/>
    <row r="6" spans="1:7" ht="12.75" customHeight="1">
      <c r="A6" s="26"/>
    </row>
    <row r="7" spans="1:7" ht="12.75" customHeight="1">
      <c r="A7" s="1"/>
    </row>
    <row r="8" spans="1:7" ht="12.75" customHeight="1">
      <c r="A8" s="26"/>
    </row>
    <row r="9" spans="1:7" ht="12.75" customHeight="1">
      <c r="A9" s="26"/>
      <c r="E9" t="s">
        <v>277</v>
      </c>
      <c r="F9" s="48" t="s">
        <v>278</v>
      </c>
    </row>
    <row r="10" spans="1:7" ht="12.75" customHeight="1">
      <c r="A10" s="26"/>
      <c r="E10" t="s">
        <v>279</v>
      </c>
      <c r="F10" s="48" t="s">
        <v>280</v>
      </c>
    </row>
    <row r="11" spans="1:7" ht="12.75" customHeight="1"/>
    <row r="12" spans="1:7" ht="12.75" customHeight="1"/>
    <row r="13" spans="1:7" ht="12.75" customHeight="1"/>
    <row r="14" spans="1:7" ht="51.75" customHeight="1">
      <c r="A14" s="5" t="s">
        <v>281</v>
      </c>
      <c r="B14" s="5" t="s">
        <v>282</v>
      </c>
      <c r="C14" s="27" t="s">
        <v>283</v>
      </c>
      <c r="D14" s="28" t="s">
        <v>284</v>
      </c>
      <c r="E14" s="27" t="s">
        <v>285</v>
      </c>
      <c r="F14" s="27" t="s">
        <v>286</v>
      </c>
      <c r="G14" s="27" t="s">
        <v>287</v>
      </c>
    </row>
    <row r="15" spans="1:7" ht="12.75" customHeight="1">
      <c r="A15" s="22" t="s">
        <v>288</v>
      </c>
      <c r="B15" s="22">
        <v>5</v>
      </c>
      <c r="C15" s="22">
        <v>2</v>
      </c>
      <c r="D15" s="22" t="s">
        <v>202</v>
      </c>
      <c r="E15" s="55" t="str">
        <f>IF(B15 &gt; 10, "Bonus", IF(C15 &gt; 4, "Slacker", "None "))</f>
        <v xml:space="preserve">None </v>
      </c>
      <c r="F15" s="21" t="str">
        <f>IF(AND(B15 &gt; 10, C15 &gt; 4), "Bonus and Slacker", "None")</f>
        <v>None</v>
      </c>
      <c r="G15" s="21" t="str">
        <f>IF(OR(B15 &gt; 10, C15 &gt; 4), "Bonus or Slacker ", "None")</f>
        <v>None</v>
      </c>
    </row>
    <row r="16" spans="1:7" ht="12.75" customHeight="1">
      <c r="A16" s="22" t="s">
        <v>288</v>
      </c>
      <c r="B16" s="22">
        <v>13</v>
      </c>
      <c r="C16" s="22">
        <v>5</v>
      </c>
      <c r="D16" s="22" t="s">
        <v>207</v>
      </c>
      <c r="E16" s="55" t="str">
        <f t="shared" ref="E16:E30" si="0">IF(B16 &gt; 10, "Bonus", IF(C16 &gt; 4, "Slacker", "None "))</f>
        <v>Bonus</v>
      </c>
      <c r="F16" s="21" t="str">
        <f t="shared" ref="F16:F30" si="1">IF(AND(B16 &gt; 10, C16 &gt; 4), "Bonus and Slacker", "None")</f>
        <v>Bonus and Slacker</v>
      </c>
      <c r="G16" s="21" t="str">
        <f t="shared" ref="G16:G30" si="2">IF(OR(B16 &gt; 10, C16 &gt; 4), "Bonus or Slacker ", "None")</f>
        <v xml:space="preserve">Bonus or Slacker </v>
      </c>
    </row>
    <row r="17" spans="1:7" ht="12.75" customHeight="1">
      <c r="A17" s="22" t="s">
        <v>288</v>
      </c>
      <c r="B17" s="22">
        <v>8</v>
      </c>
      <c r="C17" s="22">
        <v>5</v>
      </c>
      <c r="D17" s="22" t="s">
        <v>218</v>
      </c>
      <c r="E17" s="55" t="str">
        <f t="shared" si="0"/>
        <v>Slacker</v>
      </c>
      <c r="F17" s="21" t="str">
        <f t="shared" si="1"/>
        <v>None</v>
      </c>
      <c r="G17" s="21" t="str">
        <f t="shared" si="2"/>
        <v xml:space="preserve">Bonus or Slacker </v>
      </c>
    </row>
    <row r="18" spans="1:7" ht="12.75" customHeight="1">
      <c r="A18" s="22" t="s">
        <v>288</v>
      </c>
      <c r="B18" s="22">
        <v>33</v>
      </c>
      <c r="C18" s="22">
        <v>4</v>
      </c>
      <c r="D18" s="22" t="s">
        <v>244</v>
      </c>
      <c r="E18" s="55" t="str">
        <f t="shared" si="0"/>
        <v>Bonus</v>
      </c>
      <c r="F18" s="21" t="str">
        <f t="shared" si="1"/>
        <v>None</v>
      </c>
      <c r="G18" s="21" t="str">
        <f t="shared" si="2"/>
        <v xml:space="preserve">Bonus or Slacker </v>
      </c>
    </row>
    <row r="19" spans="1:7" ht="12.75" customHeight="1">
      <c r="A19" s="22" t="s">
        <v>288</v>
      </c>
      <c r="B19" s="22">
        <v>14</v>
      </c>
      <c r="C19" s="22">
        <v>3</v>
      </c>
      <c r="D19" s="22" t="s">
        <v>240</v>
      </c>
      <c r="E19" s="55" t="str">
        <f t="shared" si="0"/>
        <v>Bonus</v>
      </c>
      <c r="F19" s="21" t="str">
        <f t="shared" si="1"/>
        <v>None</v>
      </c>
      <c r="G19" s="21" t="str">
        <f t="shared" si="2"/>
        <v xml:space="preserve">Bonus or Slacker </v>
      </c>
    </row>
    <row r="20" spans="1:7" ht="12.75" customHeight="1">
      <c r="A20" s="22" t="s">
        <v>288</v>
      </c>
      <c r="B20" s="22">
        <v>25</v>
      </c>
      <c r="C20" s="22">
        <v>2</v>
      </c>
      <c r="D20" s="22" t="s">
        <v>219</v>
      </c>
      <c r="E20" s="55" t="str">
        <f t="shared" si="0"/>
        <v>Bonus</v>
      </c>
      <c r="F20" s="21" t="str">
        <f t="shared" si="1"/>
        <v>None</v>
      </c>
      <c r="G20" s="21" t="str">
        <f t="shared" si="2"/>
        <v xml:space="preserve">Bonus or Slacker </v>
      </c>
    </row>
    <row r="21" spans="1:7" ht="12.75" customHeight="1">
      <c r="A21" s="22" t="s">
        <v>288</v>
      </c>
      <c r="B21" s="22">
        <v>5</v>
      </c>
      <c r="C21" s="22">
        <v>3</v>
      </c>
      <c r="D21" s="22" t="s">
        <v>174</v>
      </c>
      <c r="E21" s="55" t="str">
        <f t="shared" si="0"/>
        <v xml:space="preserve">None </v>
      </c>
      <c r="F21" s="21" t="str">
        <f t="shared" si="1"/>
        <v>None</v>
      </c>
      <c r="G21" s="21" t="str">
        <f t="shared" si="2"/>
        <v>None</v>
      </c>
    </row>
    <row r="22" spans="1:7" ht="12.75" customHeight="1">
      <c r="A22" s="22" t="s">
        <v>288</v>
      </c>
      <c r="B22" s="22">
        <v>2</v>
      </c>
      <c r="C22" s="22">
        <v>3</v>
      </c>
      <c r="D22" s="22" t="s">
        <v>200</v>
      </c>
      <c r="E22" s="55" t="str">
        <f t="shared" si="0"/>
        <v xml:space="preserve">None </v>
      </c>
      <c r="F22" s="21" t="str">
        <f t="shared" si="1"/>
        <v>None</v>
      </c>
      <c r="G22" s="21" t="str">
        <f t="shared" si="2"/>
        <v>None</v>
      </c>
    </row>
    <row r="23" spans="1:7" ht="12.75" customHeight="1">
      <c r="A23" s="22" t="s">
        <v>288</v>
      </c>
      <c r="B23" s="22">
        <v>15</v>
      </c>
      <c r="C23" s="22">
        <v>4</v>
      </c>
      <c r="D23" s="22" t="s">
        <v>242</v>
      </c>
      <c r="E23" s="55" t="str">
        <f t="shared" si="0"/>
        <v>Bonus</v>
      </c>
      <c r="F23" s="21" t="str">
        <f t="shared" si="1"/>
        <v>None</v>
      </c>
      <c r="G23" s="21" t="str">
        <f t="shared" si="2"/>
        <v xml:space="preserve">Bonus or Slacker </v>
      </c>
    </row>
    <row r="24" spans="1:7" ht="12.75" customHeight="1">
      <c r="A24" s="22" t="s">
        <v>288</v>
      </c>
      <c r="B24" s="22">
        <v>12</v>
      </c>
      <c r="C24" s="22">
        <v>3</v>
      </c>
      <c r="D24" s="22" t="s">
        <v>252</v>
      </c>
      <c r="E24" s="55" t="str">
        <f t="shared" si="0"/>
        <v>Bonus</v>
      </c>
      <c r="F24" s="21" t="str">
        <f t="shared" si="1"/>
        <v>None</v>
      </c>
      <c r="G24" s="21" t="str">
        <f t="shared" si="2"/>
        <v xml:space="preserve">Bonus or Slacker </v>
      </c>
    </row>
    <row r="25" spans="1:7" ht="12.75" customHeight="1">
      <c r="A25" s="22" t="s">
        <v>288</v>
      </c>
      <c r="B25" s="22">
        <v>7</v>
      </c>
      <c r="C25" s="22">
        <v>3</v>
      </c>
      <c r="D25" s="22" t="s">
        <v>255</v>
      </c>
      <c r="E25" s="55" t="str">
        <f t="shared" si="0"/>
        <v xml:space="preserve">None </v>
      </c>
      <c r="F25" s="21" t="str">
        <f t="shared" si="1"/>
        <v>None</v>
      </c>
      <c r="G25" s="21" t="str">
        <f t="shared" si="2"/>
        <v>None</v>
      </c>
    </row>
    <row r="26" spans="1:7" ht="12.75" customHeight="1">
      <c r="A26" s="22" t="s">
        <v>288</v>
      </c>
      <c r="B26" s="22">
        <v>11</v>
      </c>
      <c r="C26" s="22">
        <v>3</v>
      </c>
      <c r="D26" s="22" t="s">
        <v>196</v>
      </c>
      <c r="E26" s="55" t="str">
        <f t="shared" si="0"/>
        <v>Bonus</v>
      </c>
      <c r="F26" s="21" t="str">
        <f t="shared" si="1"/>
        <v>None</v>
      </c>
      <c r="G26" s="21" t="str">
        <f t="shared" si="2"/>
        <v xml:space="preserve">Bonus or Slacker </v>
      </c>
    </row>
    <row r="27" spans="1:7" ht="12.75" customHeight="1">
      <c r="A27" s="22" t="s">
        <v>288</v>
      </c>
      <c r="B27" s="22">
        <v>1</v>
      </c>
      <c r="C27" s="22">
        <v>3</v>
      </c>
      <c r="D27" s="22" t="s">
        <v>229</v>
      </c>
      <c r="E27" s="55" t="str">
        <f t="shared" si="0"/>
        <v xml:space="preserve">None </v>
      </c>
      <c r="F27" s="21" t="str">
        <f t="shared" si="1"/>
        <v>None</v>
      </c>
      <c r="G27" s="21" t="str">
        <f t="shared" si="2"/>
        <v>None</v>
      </c>
    </row>
    <row r="28" spans="1:7" ht="12.75" customHeight="1">
      <c r="A28" s="22" t="s">
        <v>288</v>
      </c>
      <c r="B28" s="22">
        <v>2</v>
      </c>
      <c r="C28" s="22">
        <v>1</v>
      </c>
      <c r="D28" s="22" t="s">
        <v>250</v>
      </c>
      <c r="E28" s="55" t="str">
        <f t="shared" si="0"/>
        <v xml:space="preserve">None </v>
      </c>
      <c r="F28" s="21" t="str">
        <f t="shared" si="1"/>
        <v>None</v>
      </c>
      <c r="G28" s="21" t="str">
        <f t="shared" si="2"/>
        <v>None</v>
      </c>
    </row>
    <row r="29" spans="1:7" ht="12.75" customHeight="1">
      <c r="A29" s="22" t="s">
        <v>288</v>
      </c>
      <c r="B29" s="22">
        <v>27</v>
      </c>
      <c r="C29" s="22">
        <v>4</v>
      </c>
      <c r="D29" s="22" t="s">
        <v>188</v>
      </c>
      <c r="E29" s="55" t="str">
        <f t="shared" si="0"/>
        <v>Bonus</v>
      </c>
      <c r="F29" s="21" t="str">
        <f t="shared" si="1"/>
        <v>None</v>
      </c>
      <c r="G29" s="21" t="str">
        <f t="shared" si="2"/>
        <v xml:space="preserve">Bonus or Slacker </v>
      </c>
    </row>
    <row r="30" spans="1:7" ht="12.75" customHeight="1">
      <c r="A30" s="22" t="s">
        <v>288</v>
      </c>
      <c r="B30" s="22">
        <v>15</v>
      </c>
      <c r="C30" s="22">
        <v>1</v>
      </c>
      <c r="D30" s="22" t="s">
        <v>223</v>
      </c>
      <c r="E30" s="55" t="str">
        <f t="shared" si="0"/>
        <v>Bonus</v>
      </c>
      <c r="F30" s="21" t="str">
        <f t="shared" si="1"/>
        <v>None</v>
      </c>
      <c r="G30" s="21" t="str">
        <f t="shared" si="2"/>
        <v xml:space="preserve">Bonus or Slacker </v>
      </c>
    </row>
    <row r="31" spans="1:7" ht="12.75" customHeight="1"/>
    <row r="32" spans="1:7" ht="12.75" customHeight="1"/>
    <row r="33" spans="1:12" ht="12.75" customHeight="1"/>
    <row r="34" spans="1:12" ht="12.75" customHeight="1">
      <c r="A34" s="3" t="s">
        <v>289</v>
      </c>
    </row>
    <row r="35" spans="1:12" ht="12.75" customHeight="1">
      <c r="A35" s="3" t="s">
        <v>290</v>
      </c>
    </row>
    <row r="36" spans="1:12" ht="12.75" customHeight="1"/>
    <row r="37" spans="1:12" ht="12.75" customHeight="1">
      <c r="A37" s="56">
        <f>IF(ISNUMBER(A39), 1, 0)</f>
        <v>1</v>
      </c>
      <c r="B37" s="56">
        <f t="shared" ref="B37:H37" si="3">IF(ISNUMBER(B39), 1, 0)</f>
        <v>1</v>
      </c>
      <c r="C37" s="56">
        <f t="shared" si="3"/>
        <v>1</v>
      </c>
      <c r="D37" s="56">
        <f t="shared" si="3"/>
        <v>1</v>
      </c>
      <c r="E37" s="56">
        <f t="shared" si="3"/>
        <v>1</v>
      </c>
      <c r="F37" s="56">
        <f t="shared" si="3"/>
        <v>1</v>
      </c>
      <c r="G37" s="56">
        <f t="shared" si="3"/>
        <v>1</v>
      </c>
      <c r="H37" s="56">
        <f t="shared" si="3"/>
        <v>0</v>
      </c>
      <c r="I37" s="56">
        <f>IF(ISNUMBER(I39), 1, 0)</f>
        <v>1</v>
      </c>
      <c r="J37" s="56">
        <f>IF(ISNUMBER(J39), 0, 1)</f>
        <v>0</v>
      </c>
      <c r="K37" s="56">
        <f>IF(ISNUMBER(K39), 0, 1)</f>
        <v>0</v>
      </c>
      <c r="L37" s="56">
        <f>IF(ISNUMBER(L39), 0, 1)</f>
        <v>0</v>
      </c>
    </row>
    <row r="38" spans="1:12" ht="12.75" customHeight="1">
      <c r="A38" s="29" t="s">
        <v>291</v>
      </c>
      <c r="B38" s="29" t="s">
        <v>292</v>
      </c>
      <c r="C38" s="29" t="s">
        <v>293</v>
      </c>
      <c r="D38" s="29">
        <v>41183</v>
      </c>
      <c r="E38" s="29">
        <v>41214</v>
      </c>
      <c r="F38" s="29">
        <v>41244</v>
      </c>
      <c r="G38" s="29">
        <v>41275</v>
      </c>
      <c r="H38" s="29">
        <v>41306</v>
      </c>
      <c r="I38" s="29">
        <v>41334</v>
      </c>
      <c r="J38" s="29">
        <v>41365</v>
      </c>
      <c r="K38" s="29">
        <v>41395</v>
      </c>
      <c r="L38" s="29">
        <v>41426</v>
      </c>
    </row>
    <row r="39" spans="1:12" ht="12.75" customHeight="1">
      <c r="A39" s="30">
        <v>16224</v>
      </c>
      <c r="B39" s="30">
        <v>16943</v>
      </c>
      <c r="C39" s="31">
        <v>16029</v>
      </c>
      <c r="D39" s="31">
        <v>16472</v>
      </c>
      <c r="E39" s="31">
        <v>16336</v>
      </c>
      <c r="F39" s="31">
        <v>16450</v>
      </c>
      <c r="G39" s="32">
        <v>16691</v>
      </c>
      <c r="H39" s="33"/>
      <c r="I39" s="31">
        <v>16411</v>
      </c>
      <c r="J39" s="34">
        <v>0</v>
      </c>
      <c r="K39" s="34">
        <v>0</v>
      </c>
      <c r="L39" s="34">
        <v>0</v>
      </c>
    </row>
    <row r="40" spans="1:12" ht="12.75" customHeight="1"/>
    <row r="41" spans="1:12" ht="12.75" customHeight="1"/>
    <row r="42" spans="1:12" ht="12.75" customHeight="1">
      <c r="D42" s="52"/>
    </row>
    <row r="43" spans="1:12" ht="12.75" customHeight="1">
      <c r="D43" s="52"/>
    </row>
    <row r="44" spans="1:12" ht="12.75" customHeight="1"/>
    <row r="45" spans="1:12" ht="12.75" customHeight="1"/>
    <row r="46" spans="1:12" ht="12.75" customHeight="1"/>
    <row r="47" spans="1:12" ht="12.75" customHeight="1"/>
    <row r="48" spans="1:12" ht="12.75" customHeight="1"/>
    <row r="49" spans="5:5" ht="12.75" customHeight="1"/>
    <row r="50" spans="5:5" ht="12.75" customHeight="1">
      <c r="E50" s="35" t="s">
        <v>294</v>
      </c>
    </row>
    <row r="51" spans="5:5" ht="12.75" customHeight="1"/>
    <row r="52" spans="5:5" ht="12.75" customHeight="1"/>
    <row r="53" spans="5:5" ht="12.75" customHeight="1"/>
    <row r="54" spans="5:5" ht="12.75" customHeight="1"/>
    <row r="55" spans="5:5" ht="12.75" customHeight="1"/>
    <row r="56" spans="5:5" ht="12.75" customHeight="1"/>
    <row r="57" spans="5:5" ht="12.75" customHeight="1"/>
    <row r="58" spans="5:5" ht="12.75" customHeight="1"/>
    <row r="59" spans="5:5" ht="12.75" customHeight="1"/>
    <row r="60" spans="5:5" ht="12.75" customHeight="1"/>
    <row r="61" spans="5:5" ht="12.75" customHeight="1"/>
    <row r="62" spans="5:5" ht="12.75" customHeight="1"/>
    <row r="63" spans="5:5" ht="12.75" customHeight="1"/>
    <row r="64" spans="5:5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conditionalFormatting sqref="A39:L39">
    <cfRule type="expression" dxfId="1" priority="1">
      <formula>$A39&lt;&gt;$A40</formula>
    </cfRule>
  </conditionalFormatting>
  <dataValidations count="1">
    <dataValidation type="list" allowBlank="1" showErrorMessage="1" sqref="D43" xr:uid="{00000000-0002-0000-0700-000000000000}">
      <formula1>$E$50</formula1>
    </dataValidation>
  </dataValidations>
  <hyperlinks>
    <hyperlink ref="B1" location="TOC!A1" display="Return to TOC" xr:uid="{00000000-0004-0000-0700-000000000000}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3CCCC"/>
  </sheetPr>
  <dimension ref="A1:N100"/>
  <sheetViews>
    <sheetView workbookViewId="0">
      <selection activeCell="J3" sqref="J3"/>
    </sheetView>
  </sheetViews>
  <sheetFormatPr defaultColWidth="14.44140625" defaultRowHeight="15" customHeight="1"/>
  <cols>
    <col min="1" max="1" width="10" customWidth="1"/>
    <col min="2" max="3" width="8.6640625" customWidth="1"/>
    <col min="4" max="4" width="12.88671875" customWidth="1"/>
    <col min="5" max="5" width="8.6640625" customWidth="1"/>
    <col min="6" max="6" width="13.33203125" customWidth="1"/>
    <col min="7" max="7" width="13.6640625" customWidth="1"/>
    <col min="8" max="8" width="12.88671875" customWidth="1"/>
    <col min="9" max="9" width="11.33203125" customWidth="1"/>
    <col min="10" max="12" width="8.6640625" customWidth="1"/>
    <col min="13" max="13" width="8.44140625" bestFit="1" customWidth="1"/>
    <col min="14" max="14" width="43.33203125" bestFit="1" customWidth="1"/>
    <col min="15" max="17" width="8.6640625" customWidth="1"/>
  </cols>
  <sheetData>
    <row r="1" spans="1:14" ht="12.75" customHeight="1">
      <c r="D1" s="2" t="s">
        <v>20</v>
      </c>
    </row>
    <row r="2" spans="1:14" ht="27" customHeight="1">
      <c r="A2" s="36" t="s">
        <v>295</v>
      </c>
      <c r="B2" s="36" t="s">
        <v>296</v>
      </c>
      <c r="C2" s="36" t="s">
        <v>297</v>
      </c>
      <c r="D2" s="36" t="s">
        <v>298</v>
      </c>
      <c r="E2" s="36" t="s">
        <v>299</v>
      </c>
      <c r="F2" s="36" t="s">
        <v>300</v>
      </c>
      <c r="G2" s="36" t="s">
        <v>301</v>
      </c>
      <c r="H2" s="36" t="s">
        <v>302</v>
      </c>
      <c r="I2" s="36" t="s">
        <v>303</v>
      </c>
      <c r="J2" s="53" t="s">
        <v>304</v>
      </c>
      <c r="K2" s="53" t="s">
        <v>304</v>
      </c>
      <c r="N2" s="54" t="s">
        <v>305</v>
      </c>
    </row>
    <row r="3" spans="1:14" ht="12.75" customHeight="1">
      <c r="A3" t="s">
        <v>306</v>
      </c>
      <c r="B3">
        <v>50110</v>
      </c>
      <c r="C3">
        <v>10010</v>
      </c>
      <c r="D3" s="37">
        <v>1301790.1100000001</v>
      </c>
      <c r="E3" s="37">
        <v>0</v>
      </c>
      <c r="F3" s="37">
        <v>0</v>
      </c>
      <c r="G3" s="37">
        <v>0</v>
      </c>
      <c r="H3" s="37">
        <v>1127344.67</v>
      </c>
      <c r="I3" s="37">
        <v>174445.44</v>
      </c>
      <c r="J3" s="38">
        <f>H3/D3</f>
        <v>0.86599572491759047</v>
      </c>
      <c r="K3" s="57">
        <f>IFERROR((H3/D3), "Not Found")</f>
        <v>0.86599572491759047</v>
      </c>
    </row>
    <row r="4" spans="1:14" ht="12.75" customHeight="1">
      <c r="A4" t="s">
        <v>306</v>
      </c>
      <c r="B4">
        <v>50120</v>
      </c>
      <c r="C4">
        <v>10010</v>
      </c>
      <c r="D4" s="34">
        <v>28120.39</v>
      </c>
      <c r="E4" s="34">
        <v>0</v>
      </c>
      <c r="F4" s="34">
        <v>0</v>
      </c>
      <c r="G4" s="34">
        <v>0</v>
      </c>
      <c r="H4" s="34">
        <v>28120.39</v>
      </c>
      <c r="I4" s="34">
        <v>0</v>
      </c>
      <c r="J4" s="38">
        <f>H4/D4</f>
        <v>1</v>
      </c>
      <c r="K4" s="57">
        <f t="shared" ref="K4:K40" si="0">IFERROR((H4/D4), "Not Found")</f>
        <v>1</v>
      </c>
      <c r="L4" s="39"/>
    </row>
    <row r="5" spans="1:14" ht="12.75" customHeight="1">
      <c r="A5" t="s">
        <v>306</v>
      </c>
      <c r="B5">
        <v>50150</v>
      </c>
      <c r="C5">
        <v>10010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8" t="e">
        <f>H5/D5</f>
        <v>#DIV/0!</v>
      </c>
      <c r="K5" s="57" t="str">
        <f t="shared" si="0"/>
        <v>Not Found</v>
      </c>
      <c r="L5" s="39"/>
    </row>
    <row r="6" spans="1:14" ht="12.75" customHeight="1">
      <c r="A6" t="s">
        <v>306</v>
      </c>
      <c r="B6">
        <v>50160</v>
      </c>
      <c r="C6">
        <v>10010</v>
      </c>
      <c r="D6" s="34">
        <v>36648.5</v>
      </c>
      <c r="E6" s="34">
        <v>0</v>
      </c>
      <c r="F6" s="34">
        <v>0</v>
      </c>
      <c r="G6" s="34">
        <v>0</v>
      </c>
      <c r="H6" s="34">
        <v>32011.5</v>
      </c>
      <c r="I6" s="34">
        <v>4637</v>
      </c>
      <c r="J6" s="38">
        <f t="shared" ref="J6:J40" si="1">H6/D6</f>
        <v>0.87347367559381695</v>
      </c>
      <c r="K6" s="57">
        <f t="shared" si="0"/>
        <v>0.87347367559381695</v>
      </c>
    </row>
    <row r="7" spans="1:14" ht="12.75" customHeight="1">
      <c r="A7" t="s">
        <v>306</v>
      </c>
      <c r="B7">
        <v>50170</v>
      </c>
      <c r="C7">
        <v>10010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8" t="e">
        <f t="shared" si="1"/>
        <v>#DIV/0!</v>
      </c>
      <c r="K7" s="57" t="str">
        <f t="shared" si="0"/>
        <v>Not Found</v>
      </c>
    </row>
    <row r="8" spans="1:14" ht="12.75" customHeight="1">
      <c r="A8" t="s">
        <v>306</v>
      </c>
      <c r="B8">
        <v>50190</v>
      </c>
      <c r="C8">
        <v>10010</v>
      </c>
      <c r="D8" s="34">
        <v>39860</v>
      </c>
      <c r="E8" s="34">
        <v>0</v>
      </c>
      <c r="F8" s="34">
        <v>0</v>
      </c>
      <c r="G8" s="34">
        <v>0</v>
      </c>
      <c r="H8" s="34">
        <v>39860</v>
      </c>
      <c r="I8" s="34">
        <v>0</v>
      </c>
      <c r="J8" s="38">
        <f t="shared" si="1"/>
        <v>1</v>
      </c>
      <c r="K8" s="57">
        <f t="shared" si="0"/>
        <v>1</v>
      </c>
    </row>
    <row r="9" spans="1:14" ht="12.75" customHeight="1">
      <c r="A9" t="s">
        <v>306</v>
      </c>
      <c r="B9">
        <v>50410</v>
      </c>
      <c r="C9">
        <v>10010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8" t="e">
        <f t="shared" si="1"/>
        <v>#DIV/0!</v>
      </c>
      <c r="K9" s="57" t="str">
        <f t="shared" si="0"/>
        <v>Not Found</v>
      </c>
    </row>
    <row r="10" spans="1:14" ht="12.75" customHeight="1">
      <c r="A10" t="s">
        <v>306</v>
      </c>
      <c r="B10">
        <v>50410</v>
      </c>
      <c r="C10">
        <v>12244</v>
      </c>
      <c r="D10" s="34">
        <v>915.4</v>
      </c>
      <c r="E10" s="34">
        <v>0</v>
      </c>
      <c r="F10" s="34">
        <v>0</v>
      </c>
      <c r="G10" s="34">
        <v>0</v>
      </c>
      <c r="H10" s="34">
        <v>768.05</v>
      </c>
      <c r="I10" s="34">
        <v>147.35</v>
      </c>
      <c r="J10" s="38">
        <f t="shared" si="1"/>
        <v>0.83903211710727543</v>
      </c>
      <c r="K10" s="57">
        <f t="shared" si="0"/>
        <v>0.83903211710727543</v>
      </c>
    </row>
    <row r="11" spans="1:14" ht="12.75" customHeight="1">
      <c r="A11" t="s">
        <v>306</v>
      </c>
      <c r="B11">
        <v>50420</v>
      </c>
      <c r="C11">
        <v>10010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8" t="e">
        <f t="shared" si="1"/>
        <v>#DIV/0!</v>
      </c>
      <c r="K11" s="57" t="str">
        <f t="shared" si="0"/>
        <v>Not Found</v>
      </c>
    </row>
    <row r="12" spans="1:14" ht="12.75" customHeight="1">
      <c r="A12" t="s">
        <v>306</v>
      </c>
      <c r="B12">
        <v>50420</v>
      </c>
      <c r="C12">
        <v>12244</v>
      </c>
      <c r="D12" s="34">
        <v>132190.35</v>
      </c>
      <c r="E12" s="34">
        <v>0</v>
      </c>
      <c r="F12" s="34">
        <v>0</v>
      </c>
      <c r="G12" s="34">
        <v>0</v>
      </c>
      <c r="H12" s="34">
        <v>105327.44</v>
      </c>
      <c r="I12" s="34">
        <v>26862.91</v>
      </c>
      <c r="J12" s="38">
        <f t="shared" si="1"/>
        <v>0.79678614966977546</v>
      </c>
      <c r="K12" s="57">
        <f t="shared" si="0"/>
        <v>0.79678614966977546</v>
      </c>
    </row>
    <row r="13" spans="1:14" ht="12.75" customHeight="1">
      <c r="A13" t="s">
        <v>306</v>
      </c>
      <c r="B13">
        <v>50430</v>
      </c>
      <c r="C13">
        <v>10010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8" t="e">
        <f t="shared" si="1"/>
        <v>#DIV/0!</v>
      </c>
      <c r="K13" s="57" t="str">
        <f t="shared" si="0"/>
        <v>Not Found</v>
      </c>
    </row>
    <row r="14" spans="1:14" ht="12.75" customHeight="1">
      <c r="A14" t="s">
        <v>306</v>
      </c>
      <c r="B14">
        <v>50430</v>
      </c>
      <c r="C14">
        <v>12244</v>
      </c>
      <c r="D14" s="34">
        <v>2204.88</v>
      </c>
      <c r="E14" s="34">
        <v>0</v>
      </c>
      <c r="F14" s="34">
        <v>0</v>
      </c>
      <c r="G14" s="34">
        <v>0</v>
      </c>
      <c r="H14" s="34">
        <v>2043.13</v>
      </c>
      <c r="I14" s="34">
        <v>161.75</v>
      </c>
      <c r="J14" s="38">
        <f t="shared" si="1"/>
        <v>0.92663999854867385</v>
      </c>
      <c r="K14" s="57">
        <f t="shared" si="0"/>
        <v>0.92663999854867385</v>
      </c>
    </row>
    <row r="15" spans="1:14" ht="12.75" customHeight="1">
      <c r="A15" t="s">
        <v>306</v>
      </c>
      <c r="B15">
        <v>50441</v>
      </c>
      <c r="C15">
        <v>10010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8" t="e">
        <f t="shared" si="1"/>
        <v>#DIV/0!</v>
      </c>
      <c r="K15" s="57" t="str">
        <f t="shared" si="0"/>
        <v>Not Found</v>
      </c>
    </row>
    <row r="16" spans="1:14" ht="12.75" customHeight="1">
      <c r="A16" t="s">
        <v>306</v>
      </c>
      <c r="B16">
        <v>50441</v>
      </c>
      <c r="C16">
        <v>12244</v>
      </c>
      <c r="D16" s="34">
        <v>74114.67</v>
      </c>
      <c r="E16" s="34">
        <v>0</v>
      </c>
      <c r="F16" s="34">
        <v>0</v>
      </c>
      <c r="G16" s="34">
        <v>0</v>
      </c>
      <c r="H16" s="34">
        <v>62122.79</v>
      </c>
      <c r="I16" s="34">
        <v>11991.88</v>
      </c>
      <c r="J16" s="38">
        <f t="shared" si="1"/>
        <v>0.83819829461562745</v>
      </c>
      <c r="K16" s="57">
        <f t="shared" si="0"/>
        <v>0.83819829461562745</v>
      </c>
    </row>
    <row r="17" spans="1:11" ht="12.75" customHeight="1">
      <c r="A17" t="s">
        <v>306</v>
      </c>
      <c r="B17">
        <v>50442</v>
      </c>
      <c r="C17">
        <v>10010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8" t="e">
        <f t="shared" si="1"/>
        <v>#DIV/0!</v>
      </c>
      <c r="K17" s="57" t="str">
        <f t="shared" si="0"/>
        <v>Not Found</v>
      </c>
    </row>
    <row r="18" spans="1:11" ht="12.75" customHeight="1">
      <c r="A18" t="s">
        <v>306</v>
      </c>
      <c r="B18">
        <v>50442</v>
      </c>
      <c r="C18">
        <v>12244</v>
      </c>
      <c r="D18" s="34">
        <v>19164.689999999999</v>
      </c>
      <c r="E18" s="34">
        <v>0</v>
      </c>
      <c r="F18" s="34">
        <v>0</v>
      </c>
      <c r="G18" s="34">
        <v>0</v>
      </c>
      <c r="H18" s="34">
        <v>16553.919999999998</v>
      </c>
      <c r="I18" s="34">
        <v>2610.77</v>
      </c>
      <c r="J18" s="38">
        <f t="shared" si="1"/>
        <v>0.8637718637765599</v>
      </c>
      <c r="K18" s="57">
        <f t="shared" si="0"/>
        <v>0.8637718637765599</v>
      </c>
    </row>
    <row r="19" spans="1:11" ht="12.75" customHeight="1">
      <c r="A19" t="s">
        <v>306</v>
      </c>
      <c r="B19">
        <v>50460</v>
      </c>
      <c r="C19">
        <v>12244</v>
      </c>
      <c r="D19" s="34">
        <v>12446.1</v>
      </c>
      <c r="E19" s="34">
        <v>0</v>
      </c>
      <c r="F19" s="34">
        <v>0</v>
      </c>
      <c r="G19" s="34">
        <v>0</v>
      </c>
      <c r="H19" s="34">
        <v>10197.1</v>
      </c>
      <c r="I19" s="34">
        <v>2249</v>
      </c>
      <c r="J19" s="38">
        <f t="shared" si="1"/>
        <v>0.81930082515808167</v>
      </c>
      <c r="K19" s="57">
        <f t="shared" si="0"/>
        <v>0.81930082515808167</v>
      </c>
    </row>
    <row r="20" spans="1:11" ht="12.75" customHeight="1">
      <c r="A20" t="s">
        <v>306</v>
      </c>
      <c r="B20">
        <v>50471</v>
      </c>
      <c r="C20">
        <v>10010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8" t="e">
        <f t="shared" si="1"/>
        <v>#DIV/0!</v>
      </c>
      <c r="K20" s="57" t="str">
        <f t="shared" si="0"/>
        <v>Not Found</v>
      </c>
    </row>
    <row r="21" spans="1:11" ht="12.75" customHeight="1">
      <c r="A21" t="s">
        <v>306</v>
      </c>
      <c r="B21">
        <v>50471</v>
      </c>
      <c r="C21">
        <v>12244</v>
      </c>
      <c r="D21" s="34">
        <v>368461.38</v>
      </c>
      <c r="E21" s="34">
        <v>0</v>
      </c>
      <c r="F21" s="34">
        <v>0</v>
      </c>
      <c r="G21" s="34">
        <v>0</v>
      </c>
      <c r="H21" s="34">
        <v>335749.81</v>
      </c>
      <c r="I21" s="34">
        <v>32711.57</v>
      </c>
      <c r="J21" s="38">
        <f t="shared" si="1"/>
        <v>0.91122117058781027</v>
      </c>
      <c r="K21" s="57">
        <f t="shared" si="0"/>
        <v>0.91122117058781027</v>
      </c>
    </row>
    <row r="22" spans="1:11" ht="12.75" customHeight="1">
      <c r="A22" t="s">
        <v>306</v>
      </c>
      <c r="B22">
        <v>50511</v>
      </c>
      <c r="C22">
        <v>12244</v>
      </c>
      <c r="D22" s="34">
        <v>48522.91</v>
      </c>
      <c r="E22" s="34">
        <v>0</v>
      </c>
      <c r="F22" s="34">
        <v>0</v>
      </c>
      <c r="G22" s="34">
        <v>0</v>
      </c>
      <c r="H22" s="34">
        <v>48522.91</v>
      </c>
      <c r="I22" s="34">
        <v>0</v>
      </c>
      <c r="J22" s="38">
        <f t="shared" si="1"/>
        <v>1</v>
      </c>
      <c r="K22" s="57">
        <f t="shared" si="0"/>
        <v>1</v>
      </c>
    </row>
    <row r="23" spans="1:11" ht="12.75" customHeight="1">
      <c r="A23" t="s">
        <v>306</v>
      </c>
      <c r="B23">
        <v>50710</v>
      </c>
      <c r="C23">
        <v>10010</v>
      </c>
      <c r="D23" s="34">
        <v>59.88</v>
      </c>
      <c r="E23" s="34">
        <v>0</v>
      </c>
      <c r="F23" s="34">
        <v>0</v>
      </c>
      <c r="G23" s="34">
        <v>0</v>
      </c>
      <c r="H23" s="34">
        <v>59.88</v>
      </c>
      <c r="I23" s="34">
        <v>0</v>
      </c>
      <c r="J23" s="38">
        <f t="shared" si="1"/>
        <v>1</v>
      </c>
      <c r="K23" s="57">
        <f t="shared" si="0"/>
        <v>1</v>
      </c>
    </row>
    <row r="24" spans="1:11" ht="12.75" customHeight="1">
      <c r="A24" t="s">
        <v>306</v>
      </c>
      <c r="B24">
        <v>50740</v>
      </c>
      <c r="C24">
        <v>10010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8" t="e">
        <f t="shared" si="1"/>
        <v>#DIV/0!</v>
      </c>
      <c r="K24" s="57" t="str">
        <f t="shared" si="0"/>
        <v>Not Found</v>
      </c>
    </row>
    <row r="25" spans="1:11" ht="12.75" customHeight="1">
      <c r="A25" t="s">
        <v>306</v>
      </c>
      <c r="B25">
        <v>50780</v>
      </c>
      <c r="C25">
        <v>10010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8" t="e">
        <f t="shared" si="1"/>
        <v>#DIV/0!</v>
      </c>
      <c r="K25" s="57" t="str">
        <f t="shared" si="0"/>
        <v>Not Found</v>
      </c>
    </row>
    <row r="26" spans="1:11" ht="12.75" customHeight="1">
      <c r="A26" t="s">
        <v>306</v>
      </c>
      <c r="B26">
        <v>50780</v>
      </c>
      <c r="C26">
        <v>10020</v>
      </c>
      <c r="D26" s="34">
        <v>3325.1</v>
      </c>
      <c r="E26" s="34">
        <v>0</v>
      </c>
      <c r="F26" s="34">
        <v>0</v>
      </c>
      <c r="G26" s="34">
        <v>0</v>
      </c>
      <c r="H26" s="34">
        <v>2310.1</v>
      </c>
      <c r="I26" s="34">
        <v>1015</v>
      </c>
      <c r="J26" s="38">
        <f t="shared" si="1"/>
        <v>0.69474602267600971</v>
      </c>
      <c r="K26" s="57">
        <f t="shared" si="0"/>
        <v>0.69474602267600971</v>
      </c>
    </row>
    <row r="27" spans="1:11" ht="12.75" customHeight="1">
      <c r="A27" t="s">
        <v>306</v>
      </c>
      <c r="B27">
        <v>50780</v>
      </c>
      <c r="C27">
        <v>35181</v>
      </c>
      <c r="D27" s="34">
        <v>487.84</v>
      </c>
      <c r="E27" s="34">
        <v>0</v>
      </c>
      <c r="F27" s="34">
        <v>0</v>
      </c>
      <c r="G27" s="34">
        <v>0</v>
      </c>
      <c r="H27" s="34">
        <v>487.84</v>
      </c>
      <c r="I27" s="34">
        <v>0</v>
      </c>
      <c r="J27" s="38">
        <f t="shared" si="1"/>
        <v>1</v>
      </c>
      <c r="K27" s="57">
        <f t="shared" si="0"/>
        <v>1</v>
      </c>
    </row>
    <row r="28" spans="1:11" ht="12.75" customHeight="1">
      <c r="A28" t="s">
        <v>306</v>
      </c>
      <c r="B28">
        <v>50790</v>
      </c>
      <c r="C28">
        <v>10010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8" t="e">
        <f t="shared" si="1"/>
        <v>#DIV/0!</v>
      </c>
      <c r="K28" s="57" t="str">
        <f t="shared" si="0"/>
        <v>Not Found</v>
      </c>
    </row>
    <row r="29" spans="1:11" ht="12.75" customHeight="1">
      <c r="A29" t="s">
        <v>306</v>
      </c>
      <c r="B29">
        <v>50790</v>
      </c>
      <c r="C29">
        <v>10020</v>
      </c>
      <c r="D29" s="34">
        <v>29426.400000000001</v>
      </c>
      <c r="E29" s="34">
        <v>0</v>
      </c>
      <c r="F29" s="34">
        <v>0</v>
      </c>
      <c r="G29" s="34">
        <v>0</v>
      </c>
      <c r="H29" s="34">
        <v>29426.400000000001</v>
      </c>
      <c r="I29" s="34">
        <v>0</v>
      </c>
      <c r="J29" s="38">
        <f t="shared" si="1"/>
        <v>1</v>
      </c>
      <c r="K29" s="57">
        <f t="shared" si="0"/>
        <v>1</v>
      </c>
    </row>
    <row r="30" spans="1:11" ht="12.75" customHeight="1">
      <c r="A30" t="s">
        <v>306</v>
      </c>
      <c r="B30">
        <v>50800</v>
      </c>
      <c r="C30">
        <v>10010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8" t="e">
        <f t="shared" si="1"/>
        <v>#DIV/0!</v>
      </c>
      <c r="K30" s="57" t="str">
        <f t="shared" si="0"/>
        <v>Not Found</v>
      </c>
    </row>
    <row r="31" spans="1:11" ht="12.75" customHeight="1">
      <c r="A31" t="s">
        <v>306</v>
      </c>
      <c r="B31">
        <v>50800</v>
      </c>
      <c r="C31">
        <v>10020</v>
      </c>
      <c r="D31" s="34">
        <v>2287.31</v>
      </c>
      <c r="E31" s="34">
        <v>0</v>
      </c>
      <c r="F31" s="34">
        <v>0</v>
      </c>
      <c r="G31" s="34">
        <v>0</v>
      </c>
      <c r="H31" s="34">
        <v>1981.31</v>
      </c>
      <c r="I31" s="34">
        <v>306</v>
      </c>
      <c r="J31" s="38">
        <f t="shared" si="1"/>
        <v>0.86621839628209552</v>
      </c>
      <c r="K31" s="57">
        <f t="shared" si="0"/>
        <v>0.86621839628209552</v>
      </c>
    </row>
    <row r="32" spans="1:11" ht="12.75" customHeight="1">
      <c r="A32" t="s">
        <v>306</v>
      </c>
      <c r="B32">
        <v>51114</v>
      </c>
      <c r="C32">
        <v>10020</v>
      </c>
      <c r="D32" s="34">
        <v>0</v>
      </c>
      <c r="E32" s="34">
        <v>0</v>
      </c>
      <c r="F32" s="34">
        <v>0</v>
      </c>
      <c r="G32" s="34">
        <v>40.299999999999997</v>
      </c>
      <c r="H32" s="34">
        <v>0</v>
      </c>
      <c r="I32" s="34">
        <v>-40.299999999999997</v>
      </c>
      <c r="J32" s="38" t="e">
        <f t="shared" si="1"/>
        <v>#DIV/0!</v>
      </c>
      <c r="K32" s="57" t="str">
        <f t="shared" si="0"/>
        <v>Not Found</v>
      </c>
    </row>
    <row r="33" spans="1:11" ht="12.75" customHeight="1">
      <c r="A33" t="s">
        <v>306</v>
      </c>
      <c r="B33">
        <v>51115</v>
      </c>
      <c r="C33">
        <v>10020</v>
      </c>
      <c r="D33" s="34">
        <v>120.9</v>
      </c>
      <c r="E33" s="34">
        <v>0</v>
      </c>
      <c r="F33" s="34">
        <v>0</v>
      </c>
      <c r="G33" s="34">
        <v>0</v>
      </c>
      <c r="H33" s="34">
        <v>120.9</v>
      </c>
      <c r="I33" s="34">
        <v>0</v>
      </c>
      <c r="J33" s="38">
        <f t="shared" si="1"/>
        <v>1</v>
      </c>
      <c r="K33" s="57">
        <f t="shared" si="0"/>
        <v>1</v>
      </c>
    </row>
    <row r="34" spans="1:11" ht="12.75" customHeight="1">
      <c r="A34" t="s">
        <v>306</v>
      </c>
      <c r="B34">
        <v>51180</v>
      </c>
      <c r="C34">
        <v>10020</v>
      </c>
      <c r="D34" s="34">
        <v>2186.59</v>
      </c>
      <c r="E34" s="34">
        <v>0</v>
      </c>
      <c r="F34" s="34">
        <v>0</v>
      </c>
      <c r="G34" s="34">
        <v>0</v>
      </c>
      <c r="H34" s="34">
        <v>2186.59</v>
      </c>
      <c r="I34" s="34">
        <v>0</v>
      </c>
      <c r="J34" s="38">
        <f t="shared" si="1"/>
        <v>1</v>
      </c>
      <c r="K34" s="57">
        <f t="shared" si="0"/>
        <v>1</v>
      </c>
    </row>
    <row r="35" spans="1:11" ht="12.75" customHeight="1">
      <c r="A35" t="s">
        <v>306</v>
      </c>
      <c r="B35">
        <v>51180</v>
      </c>
      <c r="C35">
        <v>35181</v>
      </c>
      <c r="D35" s="34">
        <v>50</v>
      </c>
      <c r="E35" s="34">
        <v>0</v>
      </c>
      <c r="F35" s="34">
        <v>0</v>
      </c>
      <c r="G35" s="34">
        <v>0</v>
      </c>
      <c r="H35" s="34">
        <v>50</v>
      </c>
      <c r="I35" s="34">
        <v>0</v>
      </c>
      <c r="J35" s="38">
        <f t="shared" si="1"/>
        <v>1</v>
      </c>
      <c r="K35" s="57">
        <f t="shared" si="0"/>
        <v>1</v>
      </c>
    </row>
    <row r="36" spans="1:11" ht="12.75" customHeight="1">
      <c r="A36" t="s">
        <v>306</v>
      </c>
      <c r="B36">
        <v>51200</v>
      </c>
      <c r="C36">
        <v>10020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8" t="e">
        <f t="shared" si="1"/>
        <v>#DIV/0!</v>
      </c>
      <c r="K36" s="57" t="str">
        <f t="shared" si="0"/>
        <v>Not Found</v>
      </c>
    </row>
    <row r="37" spans="1:11" ht="12.75" customHeight="1">
      <c r="A37" t="s">
        <v>306</v>
      </c>
      <c r="B37">
        <v>51210</v>
      </c>
      <c r="C37">
        <v>10020</v>
      </c>
      <c r="D37" s="34">
        <v>209100</v>
      </c>
      <c r="E37" s="34">
        <v>0</v>
      </c>
      <c r="F37" s="34">
        <v>0</v>
      </c>
      <c r="G37" s="34">
        <v>0</v>
      </c>
      <c r="H37" s="34">
        <v>209100</v>
      </c>
      <c r="I37" s="34">
        <v>0</v>
      </c>
      <c r="J37" s="38">
        <f t="shared" si="1"/>
        <v>1</v>
      </c>
      <c r="K37" s="57">
        <f t="shared" si="0"/>
        <v>1</v>
      </c>
    </row>
    <row r="38" spans="1:11" ht="12.75" customHeight="1">
      <c r="A38" t="s">
        <v>306</v>
      </c>
      <c r="B38">
        <v>51230</v>
      </c>
      <c r="C38">
        <v>10020</v>
      </c>
      <c r="D38" s="34">
        <v>0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8" t="e">
        <f t="shared" si="1"/>
        <v>#DIV/0!</v>
      </c>
      <c r="K38" s="57" t="str">
        <f t="shared" si="0"/>
        <v>Not Found</v>
      </c>
    </row>
    <row r="39" spans="1:11" ht="12.75" customHeight="1">
      <c r="A39" t="s">
        <v>306</v>
      </c>
      <c r="B39">
        <v>51245</v>
      </c>
      <c r="C39">
        <v>10020</v>
      </c>
      <c r="D39" s="34">
        <v>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8" t="e">
        <f t="shared" si="1"/>
        <v>#DIV/0!</v>
      </c>
      <c r="K39" s="57" t="str">
        <f t="shared" si="0"/>
        <v>Not Found</v>
      </c>
    </row>
    <row r="40" spans="1:11" ht="12.75" customHeight="1">
      <c r="A40" t="s">
        <v>306</v>
      </c>
      <c r="B40">
        <v>51290</v>
      </c>
      <c r="C40">
        <v>10020</v>
      </c>
      <c r="D40" s="34">
        <v>4930</v>
      </c>
      <c r="E40" s="34">
        <v>0</v>
      </c>
      <c r="F40" s="34">
        <v>0</v>
      </c>
      <c r="G40" s="34">
        <v>0</v>
      </c>
      <c r="H40" s="34">
        <v>3735</v>
      </c>
      <c r="I40" s="34">
        <v>1195</v>
      </c>
      <c r="J40" s="38">
        <f t="shared" si="1"/>
        <v>0.75760649087221099</v>
      </c>
      <c r="K40" s="57">
        <f t="shared" si="0"/>
        <v>0.75760649087221099</v>
      </c>
    </row>
    <row r="41" spans="1:11" ht="12.75" customHeight="1">
      <c r="A41" s="40"/>
      <c r="B41" s="41"/>
      <c r="C41" s="41"/>
      <c r="D41" s="42">
        <f t="shared" ref="D41:I41" si="2">SUM(D3:D40)</f>
        <v>2316413.3999999994</v>
      </c>
      <c r="E41" s="42">
        <f t="shared" si="2"/>
        <v>0</v>
      </c>
      <c r="F41" s="42">
        <f t="shared" si="2"/>
        <v>0</v>
      </c>
      <c r="G41" s="42">
        <f t="shared" si="2"/>
        <v>40.299999999999997</v>
      </c>
      <c r="H41" s="42">
        <f t="shared" si="2"/>
        <v>2058079.7299999997</v>
      </c>
      <c r="I41" s="42">
        <f t="shared" si="2"/>
        <v>258293.37000000002</v>
      </c>
      <c r="J41" s="43"/>
    </row>
    <row r="42" spans="1:11" ht="12.75" customHeight="1"/>
    <row r="43" spans="1:11" ht="12.75" customHeight="1"/>
    <row r="44" spans="1:11" ht="12.75" customHeight="1"/>
    <row r="45" spans="1:11" ht="12.75" customHeight="1"/>
    <row r="46" spans="1:11" ht="12.75" customHeight="1"/>
    <row r="47" spans="1:11" ht="12.75" customHeight="1"/>
    <row r="48" spans="1:11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hyperlinks>
    <hyperlink ref="D1" location="TOC!A1" display="Return to TOC" xr:uid="{00000000-0004-0000-0800-000000000000}"/>
  </hyperlinks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  <pageSetUpPr fitToPage="1"/>
  </sheetPr>
  <dimension ref="A1:H274"/>
  <sheetViews>
    <sheetView workbookViewId="0">
      <selection activeCell="A3" sqref="A3:F274"/>
    </sheetView>
  </sheetViews>
  <sheetFormatPr defaultColWidth="14.44140625" defaultRowHeight="15" customHeight="1"/>
  <cols>
    <col min="1" max="3" width="13.44140625" customWidth="1"/>
    <col min="4" max="4" width="7.6640625" bestFit="1" customWidth="1"/>
    <col min="5" max="5" width="6.6640625" customWidth="1"/>
    <col min="6" max="6" width="15.5546875" customWidth="1"/>
    <col min="7" max="16" width="8.6640625" customWidth="1"/>
  </cols>
  <sheetData>
    <row r="1" spans="1:8" ht="12.75" customHeight="1">
      <c r="A1" s="5" t="s">
        <v>307</v>
      </c>
      <c r="B1" s="6" t="s">
        <v>308</v>
      </c>
      <c r="C1" s="2" t="s">
        <v>20</v>
      </c>
      <c r="F1" t="s">
        <v>309</v>
      </c>
    </row>
    <row r="2" spans="1:8" ht="12.75" customHeight="1">
      <c r="A2" s="5" t="s">
        <v>310</v>
      </c>
      <c r="B2" s="5" t="s">
        <v>311</v>
      </c>
      <c r="C2" s="5" t="s">
        <v>312</v>
      </c>
      <c r="D2" s="5" t="s">
        <v>313</v>
      </c>
      <c r="E2" s="5" t="s">
        <v>297</v>
      </c>
      <c r="F2" s="5" t="s">
        <v>314</v>
      </c>
    </row>
    <row r="3" spans="1:8" ht="12.75" customHeight="1">
      <c r="A3" s="7" t="s">
        <v>315</v>
      </c>
      <c r="B3" s="3">
        <v>40210</v>
      </c>
      <c r="C3" s="7" t="s">
        <v>316</v>
      </c>
      <c r="D3" s="7" t="s">
        <v>317</v>
      </c>
      <c r="E3" s="7" t="s">
        <v>318</v>
      </c>
      <c r="F3" s="44">
        <v>-60.35</v>
      </c>
    </row>
    <row r="4" spans="1:8" ht="12.75" customHeight="1">
      <c r="A4" s="7" t="s">
        <v>315</v>
      </c>
      <c r="B4" s="3">
        <v>42434</v>
      </c>
      <c r="C4" s="7" t="s">
        <v>316</v>
      </c>
      <c r="D4" s="7" t="s">
        <v>317</v>
      </c>
      <c r="E4" s="7" t="s">
        <v>318</v>
      </c>
      <c r="F4" s="44">
        <v>-656538.64</v>
      </c>
    </row>
    <row r="5" spans="1:8" ht="12.75" customHeight="1">
      <c r="A5" s="7" t="s">
        <v>315</v>
      </c>
      <c r="B5" s="3">
        <v>43405</v>
      </c>
      <c r="C5" s="7" t="s">
        <v>316</v>
      </c>
      <c r="D5" s="7" t="s">
        <v>317</v>
      </c>
      <c r="E5" s="7" t="s">
        <v>318</v>
      </c>
      <c r="F5" s="44">
        <v>-1775</v>
      </c>
    </row>
    <row r="6" spans="1:8" ht="12.75" customHeight="1">
      <c r="A6" s="7" t="s">
        <v>315</v>
      </c>
      <c r="B6" s="3">
        <v>43451</v>
      </c>
      <c r="C6" s="7" t="s">
        <v>316</v>
      </c>
      <c r="D6" s="7" t="s">
        <v>317</v>
      </c>
      <c r="E6" s="7" t="s">
        <v>318</v>
      </c>
      <c r="F6" s="44">
        <v>-1707</v>
      </c>
      <c r="H6" s="45"/>
    </row>
    <row r="7" spans="1:8" ht="12.75" customHeight="1">
      <c r="A7" s="7" t="s">
        <v>315</v>
      </c>
      <c r="B7" s="3">
        <v>43724</v>
      </c>
      <c r="C7" s="7" t="s">
        <v>316</v>
      </c>
      <c r="D7" s="7" t="s">
        <v>317</v>
      </c>
      <c r="E7" s="7" t="s">
        <v>318</v>
      </c>
      <c r="F7" s="44">
        <v>-30</v>
      </c>
      <c r="H7" s="45"/>
    </row>
    <row r="8" spans="1:8" ht="12.75" customHeight="1">
      <c r="A8" s="7" t="s">
        <v>315</v>
      </c>
      <c r="B8" s="3">
        <v>44011</v>
      </c>
      <c r="C8" s="7" t="s">
        <v>316</v>
      </c>
      <c r="D8" s="7" t="s">
        <v>317</v>
      </c>
      <c r="E8" s="7" t="s">
        <v>318</v>
      </c>
      <c r="F8" s="44">
        <v>-704.35</v>
      </c>
      <c r="H8" s="45"/>
    </row>
    <row r="9" spans="1:8" ht="12.75" customHeight="1">
      <c r="A9" s="7" t="s">
        <v>315</v>
      </c>
      <c r="B9" s="3">
        <v>44321</v>
      </c>
      <c r="C9" s="7" t="s">
        <v>316</v>
      </c>
      <c r="D9" s="7" t="s">
        <v>317</v>
      </c>
      <c r="E9" s="7" t="s">
        <v>318</v>
      </c>
      <c r="F9" s="44">
        <v>-500</v>
      </c>
      <c r="H9" s="45"/>
    </row>
    <row r="10" spans="1:8" ht="12.75" customHeight="1">
      <c r="A10" s="7" t="s">
        <v>315</v>
      </c>
      <c r="B10" s="3">
        <v>44410</v>
      </c>
      <c r="C10" s="7" t="s">
        <v>316</v>
      </c>
      <c r="D10" s="7" t="s">
        <v>317</v>
      </c>
      <c r="E10" s="7" t="s">
        <v>318</v>
      </c>
      <c r="F10" s="44">
        <v>-283</v>
      </c>
      <c r="H10" s="45"/>
    </row>
    <row r="11" spans="1:8" ht="12.75" customHeight="1">
      <c r="A11" s="7" t="s">
        <v>315</v>
      </c>
      <c r="B11" s="3">
        <v>45020</v>
      </c>
      <c r="C11" s="7" t="s">
        <v>316</v>
      </c>
      <c r="D11" s="7" t="s">
        <v>319</v>
      </c>
      <c r="E11" s="7" t="s">
        <v>320</v>
      </c>
      <c r="F11" s="44">
        <v>-75874.27</v>
      </c>
      <c r="H11" s="45"/>
    </row>
    <row r="12" spans="1:8" ht="12.75" customHeight="1">
      <c r="A12" s="7" t="s">
        <v>315</v>
      </c>
      <c r="B12" s="3">
        <v>45020</v>
      </c>
      <c r="C12" s="7" t="s">
        <v>316</v>
      </c>
      <c r="D12" s="7" t="s">
        <v>319</v>
      </c>
      <c r="E12" s="7" t="s">
        <v>321</v>
      </c>
      <c r="F12" s="44">
        <v>-3997776.94</v>
      </c>
      <c r="H12" s="45"/>
    </row>
    <row r="13" spans="1:8" ht="12.75" customHeight="1">
      <c r="A13" s="7" t="s">
        <v>315</v>
      </c>
      <c r="B13" s="3">
        <v>45020</v>
      </c>
      <c r="C13" s="7" t="s">
        <v>316</v>
      </c>
      <c r="D13" s="7" t="s">
        <v>319</v>
      </c>
      <c r="E13" s="7" t="s">
        <v>322</v>
      </c>
      <c r="F13" s="44">
        <v>-244913</v>
      </c>
      <c r="H13" s="45"/>
    </row>
    <row r="14" spans="1:8" ht="12.75" customHeight="1">
      <c r="A14" s="7" t="s">
        <v>315</v>
      </c>
      <c r="B14" s="3">
        <v>45020</v>
      </c>
      <c r="C14" s="7" t="s">
        <v>316</v>
      </c>
      <c r="D14" s="7" t="s">
        <v>319</v>
      </c>
      <c r="E14" s="7" t="s">
        <v>323</v>
      </c>
      <c r="F14" s="44">
        <v>-3106733.4</v>
      </c>
    </row>
    <row r="15" spans="1:8" ht="12.75" customHeight="1">
      <c r="A15" s="7" t="s">
        <v>315</v>
      </c>
      <c r="B15" s="3">
        <v>45020</v>
      </c>
      <c r="C15" s="7" t="s">
        <v>316</v>
      </c>
      <c r="D15" s="7" t="s">
        <v>319</v>
      </c>
      <c r="E15" s="7" t="s">
        <v>324</v>
      </c>
      <c r="F15" s="44">
        <v>-294485.21000000002</v>
      </c>
    </row>
    <row r="16" spans="1:8" ht="12.75" customHeight="1">
      <c r="A16" s="7" t="s">
        <v>315</v>
      </c>
      <c r="B16" s="3">
        <v>45020</v>
      </c>
      <c r="C16" s="7" t="s">
        <v>316</v>
      </c>
      <c r="D16" s="7" t="s">
        <v>319</v>
      </c>
      <c r="E16" s="7" t="s">
        <v>325</v>
      </c>
      <c r="F16" s="44">
        <v>-4493</v>
      </c>
    </row>
    <row r="17" spans="1:6" ht="12.75" customHeight="1">
      <c r="A17" s="7" t="s">
        <v>315</v>
      </c>
      <c r="B17" s="3">
        <v>45020</v>
      </c>
      <c r="C17" s="7" t="s">
        <v>316</v>
      </c>
      <c r="D17" s="7" t="s">
        <v>319</v>
      </c>
      <c r="E17" s="7" t="s">
        <v>326</v>
      </c>
      <c r="F17" s="44">
        <v>-769990</v>
      </c>
    </row>
    <row r="18" spans="1:6" ht="12.75" customHeight="1">
      <c r="A18" s="7" t="s">
        <v>315</v>
      </c>
      <c r="B18" s="3">
        <v>45020</v>
      </c>
      <c r="C18" s="7" t="s">
        <v>316</v>
      </c>
      <c r="D18" s="7" t="s">
        <v>319</v>
      </c>
      <c r="E18" s="7" t="s">
        <v>327</v>
      </c>
      <c r="F18" s="44">
        <v>-130613.34</v>
      </c>
    </row>
    <row r="19" spans="1:6" ht="12.75" customHeight="1">
      <c r="A19" s="7" t="s">
        <v>315</v>
      </c>
      <c r="B19" s="3">
        <v>45020</v>
      </c>
      <c r="C19" s="7" t="s">
        <v>316</v>
      </c>
      <c r="D19" s="7" t="s">
        <v>319</v>
      </c>
      <c r="E19" s="7" t="s">
        <v>328</v>
      </c>
      <c r="F19" s="44">
        <v>-15935</v>
      </c>
    </row>
    <row r="20" spans="1:6" ht="12.75" customHeight="1">
      <c r="A20" s="7" t="s">
        <v>315</v>
      </c>
      <c r="B20" s="3">
        <v>45020</v>
      </c>
      <c r="C20" s="7" t="s">
        <v>316</v>
      </c>
      <c r="D20" s="7" t="s">
        <v>319</v>
      </c>
      <c r="E20" s="7" t="s">
        <v>329</v>
      </c>
      <c r="F20" s="44">
        <v>-34289.370000000003</v>
      </c>
    </row>
    <row r="21" spans="1:6" ht="12.75" customHeight="1">
      <c r="A21" s="7" t="s">
        <v>315</v>
      </c>
      <c r="B21" s="3">
        <v>45020</v>
      </c>
      <c r="C21" s="7" t="s">
        <v>316</v>
      </c>
      <c r="D21" s="7" t="s">
        <v>319</v>
      </c>
      <c r="E21" s="7" t="s">
        <v>330</v>
      </c>
      <c r="F21" s="44">
        <v>-14201220.109999999</v>
      </c>
    </row>
    <row r="22" spans="1:6" ht="12.75" customHeight="1">
      <c r="A22" s="7" t="s">
        <v>315</v>
      </c>
      <c r="B22" s="3">
        <v>45020</v>
      </c>
      <c r="C22" s="7" t="s">
        <v>316</v>
      </c>
      <c r="D22" s="7" t="s">
        <v>319</v>
      </c>
      <c r="E22" s="7" t="s">
        <v>331</v>
      </c>
      <c r="F22" s="44">
        <v>-14243639.689999999</v>
      </c>
    </row>
    <row r="23" spans="1:6" ht="12.75" customHeight="1">
      <c r="A23" s="7" t="s">
        <v>315</v>
      </c>
      <c r="B23" s="3">
        <v>45020</v>
      </c>
      <c r="C23" s="7" t="s">
        <v>316</v>
      </c>
      <c r="D23" s="7" t="s">
        <v>319</v>
      </c>
      <c r="E23" s="7" t="s">
        <v>332</v>
      </c>
      <c r="F23" s="44">
        <v>-185671.45</v>
      </c>
    </row>
    <row r="24" spans="1:6" ht="12.75" customHeight="1">
      <c r="A24" s="7" t="s">
        <v>315</v>
      </c>
      <c r="B24" s="3">
        <v>45020</v>
      </c>
      <c r="C24" s="7" t="s">
        <v>316</v>
      </c>
      <c r="D24" s="7" t="s">
        <v>319</v>
      </c>
      <c r="E24" s="7" t="s">
        <v>333</v>
      </c>
      <c r="F24" s="44">
        <v>-26200</v>
      </c>
    </row>
    <row r="25" spans="1:6" ht="12.75" customHeight="1">
      <c r="A25" s="7" t="s">
        <v>315</v>
      </c>
      <c r="B25" s="3">
        <v>45020</v>
      </c>
      <c r="C25" s="7" t="s">
        <v>316</v>
      </c>
      <c r="D25" s="7" t="s">
        <v>319</v>
      </c>
      <c r="E25" s="7" t="s">
        <v>334</v>
      </c>
      <c r="F25" s="44">
        <v>-681580.33</v>
      </c>
    </row>
    <row r="26" spans="1:6" ht="12.75" customHeight="1">
      <c r="A26" s="7" t="s">
        <v>315</v>
      </c>
      <c r="B26" s="3">
        <v>45020</v>
      </c>
      <c r="C26" s="7" t="s">
        <v>316</v>
      </c>
      <c r="D26" s="7" t="s">
        <v>319</v>
      </c>
      <c r="E26" s="7" t="s">
        <v>335</v>
      </c>
      <c r="F26" s="44">
        <v>-150.33000000000001</v>
      </c>
    </row>
    <row r="27" spans="1:6" ht="12.75" customHeight="1">
      <c r="A27" s="7" t="s">
        <v>315</v>
      </c>
      <c r="B27" s="3">
        <v>45020</v>
      </c>
      <c r="C27" s="7" t="s">
        <v>316</v>
      </c>
      <c r="D27" s="7" t="s">
        <v>319</v>
      </c>
      <c r="E27" s="7" t="s">
        <v>336</v>
      </c>
      <c r="F27" s="44">
        <v>-34681.14</v>
      </c>
    </row>
    <row r="28" spans="1:6" ht="12.75" customHeight="1">
      <c r="A28" s="7" t="s">
        <v>315</v>
      </c>
      <c r="B28" s="3">
        <v>45020</v>
      </c>
      <c r="C28" s="7" t="s">
        <v>316</v>
      </c>
      <c r="D28" s="7" t="s">
        <v>319</v>
      </c>
      <c r="E28" s="7" t="s">
        <v>337</v>
      </c>
      <c r="F28" s="44">
        <v>-592356.93000000005</v>
      </c>
    </row>
    <row r="29" spans="1:6" ht="12.75" customHeight="1">
      <c r="A29" s="7" t="s">
        <v>315</v>
      </c>
      <c r="B29" s="3">
        <v>45020</v>
      </c>
      <c r="C29" s="7" t="s">
        <v>316</v>
      </c>
      <c r="D29" s="7" t="s">
        <v>319</v>
      </c>
      <c r="E29" s="7" t="s">
        <v>338</v>
      </c>
      <c r="F29" s="44">
        <v>-150.33000000000001</v>
      </c>
    </row>
    <row r="30" spans="1:6" ht="12.75" customHeight="1">
      <c r="A30" s="7" t="s">
        <v>315</v>
      </c>
      <c r="B30" s="3">
        <v>45020</v>
      </c>
      <c r="C30" s="7" t="s">
        <v>316</v>
      </c>
      <c r="D30" s="7" t="s">
        <v>319</v>
      </c>
      <c r="E30" s="7" t="s">
        <v>339</v>
      </c>
      <c r="F30" s="44">
        <v>-404518.95</v>
      </c>
    </row>
    <row r="31" spans="1:6" ht="12.75" customHeight="1">
      <c r="A31" s="7" t="s">
        <v>315</v>
      </c>
      <c r="B31" s="3">
        <v>45020</v>
      </c>
      <c r="C31" s="7" t="s">
        <v>316</v>
      </c>
      <c r="D31" s="7" t="s">
        <v>319</v>
      </c>
      <c r="E31" s="7" t="s">
        <v>340</v>
      </c>
      <c r="F31" s="44">
        <v>-43457.42</v>
      </c>
    </row>
    <row r="32" spans="1:6" ht="12.75" customHeight="1">
      <c r="A32" s="7" t="s">
        <v>315</v>
      </c>
      <c r="B32" s="3">
        <v>45020</v>
      </c>
      <c r="C32" s="7" t="s">
        <v>316</v>
      </c>
      <c r="D32" s="7" t="s">
        <v>319</v>
      </c>
      <c r="E32" s="7" t="s">
        <v>341</v>
      </c>
      <c r="F32" s="44">
        <v>-863165.09</v>
      </c>
    </row>
    <row r="33" spans="1:6" ht="12.75" customHeight="1">
      <c r="A33" s="7" t="s">
        <v>315</v>
      </c>
      <c r="B33" s="3">
        <v>45020</v>
      </c>
      <c r="C33" s="7" t="s">
        <v>316</v>
      </c>
      <c r="D33" s="7" t="s">
        <v>319</v>
      </c>
      <c r="E33" s="7" t="s">
        <v>342</v>
      </c>
      <c r="F33" s="44">
        <v>-2859438.63</v>
      </c>
    </row>
    <row r="34" spans="1:6" ht="12.75" customHeight="1">
      <c r="A34" s="7" t="s">
        <v>315</v>
      </c>
      <c r="B34" s="3">
        <v>45020</v>
      </c>
      <c r="C34" s="7" t="s">
        <v>316</v>
      </c>
      <c r="D34" s="7" t="s">
        <v>319</v>
      </c>
      <c r="E34" s="7" t="s">
        <v>343</v>
      </c>
      <c r="F34" s="44">
        <v>-855872.75</v>
      </c>
    </row>
    <row r="35" spans="1:6" ht="12.75" customHeight="1">
      <c r="A35" s="7" t="s">
        <v>315</v>
      </c>
      <c r="B35" s="3">
        <v>45020</v>
      </c>
      <c r="C35" s="7" t="s">
        <v>316</v>
      </c>
      <c r="D35" s="7" t="s">
        <v>319</v>
      </c>
      <c r="E35" s="7" t="s">
        <v>344</v>
      </c>
      <c r="F35" s="44">
        <v>-845022.37</v>
      </c>
    </row>
    <row r="36" spans="1:6" ht="12.75" customHeight="1">
      <c r="A36" s="7" t="s">
        <v>315</v>
      </c>
      <c r="B36" s="3">
        <v>45020</v>
      </c>
      <c r="C36" s="7" t="s">
        <v>316</v>
      </c>
      <c r="D36" s="7" t="s">
        <v>319</v>
      </c>
      <c r="E36" s="7" t="s">
        <v>345</v>
      </c>
      <c r="F36" s="44">
        <v>-320826.17</v>
      </c>
    </row>
    <row r="37" spans="1:6" ht="12.75" customHeight="1">
      <c r="A37" s="7" t="s">
        <v>315</v>
      </c>
      <c r="B37" s="3">
        <v>45020</v>
      </c>
      <c r="C37" s="7" t="s">
        <v>316</v>
      </c>
      <c r="D37" s="7" t="s">
        <v>319</v>
      </c>
      <c r="E37" s="7" t="s">
        <v>346</v>
      </c>
      <c r="F37" s="44">
        <v>-331563.61</v>
      </c>
    </row>
    <row r="38" spans="1:6" ht="12.75" customHeight="1">
      <c r="A38" s="7" t="s">
        <v>315</v>
      </c>
      <c r="B38" s="3">
        <v>45020</v>
      </c>
      <c r="C38" s="7" t="s">
        <v>316</v>
      </c>
      <c r="D38" s="7" t="s">
        <v>319</v>
      </c>
      <c r="E38" s="7" t="s">
        <v>347</v>
      </c>
      <c r="F38" s="44">
        <v>-15465.54</v>
      </c>
    </row>
    <row r="39" spans="1:6" ht="12.75" customHeight="1">
      <c r="A39" s="7" t="s">
        <v>315</v>
      </c>
      <c r="B39" s="3">
        <v>45020</v>
      </c>
      <c r="C39" s="7" t="s">
        <v>316</v>
      </c>
      <c r="D39" s="7" t="s">
        <v>319</v>
      </c>
      <c r="E39" s="7" t="s">
        <v>348</v>
      </c>
      <c r="F39" s="44">
        <v>-7855.04</v>
      </c>
    </row>
    <row r="40" spans="1:6" ht="12.75" customHeight="1">
      <c r="A40" s="7" t="s">
        <v>315</v>
      </c>
      <c r="B40" s="3">
        <v>45020</v>
      </c>
      <c r="C40" s="7" t="s">
        <v>316</v>
      </c>
      <c r="D40" s="7" t="s">
        <v>319</v>
      </c>
      <c r="E40" s="7" t="s">
        <v>349</v>
      </c>
      <c r="F40" s="44">
        <v>-25013.67</v>
      </c>
    </row>
    <row r="41" spans="1:6" ht="12.75" customHeight="1">
      <c r="A41" s="7" t="s">
        <v>315</v>
      </c>
      <c r="B41" s="3">
        <v>45020</v>
      </c>
      <c r="C41" s="7" t="s">
        <v>316</v>
      </c>
      <c r="D41" s="7" t="s">
        <v>319</v>
      </c>
      <c r="E41" s="7" t="s">
        <v>350</v>
      </c>
      <c r="F41" s="44">
        <v>-20887929.149999999</v>
      </c>
    </row>
    <row r="42" spans="1:6" ht="12.75" customHeight="1">
      <c r="A42" s="7" t="s">
        <v>315</v>
      </c>
      <c r="B42" s="3">
        <v>45020</v>
      </c>
      <c r="C42" s="7" t="s">
        <v>316</v>
      </c>
      <c r="D42" s="7" t="s">
        <v>319</v>
      </c>
      <c r="E42" s="7" t="s">
        <v>351</v>
      </c>
      <c r="F42" s="44">
        <v>-610861.9</v>
      </c>
    </row>
    <row r="43" spans="1:6" ht="12.75" customHeight="1">
      <c r="A43" s="7" t="s">
        <v>315</v>
      </c>
      <c r="B43" s="3">
        <v>45020</v>
      </c>
      <c r="C43" s="7" t="s">
        <v>316</v>
      </c>
      <c r="D43" s="7" t="s">
        <v>319</v>
      </c>
      <c r="E43" s="7" t="s">
        <v>352</v>
      </c>
      <c r="F43" s="44">
        <v>-129089.7</v>
      </c>
    </row>
    <row r="44" spans="1:6" ht="12.75" customHeight="1">
      <c r="A44" s="7" t="s">
        <v>315</v>
      </c>
      <c r="B44" s="3">
        <v>45020</v>
      </c>
      <c r="C44" s="7" t="s">
        <v>316</v>
      </c>
      <c r="D44" s="7" t="s">
        <v>319</v>
      </c>
      <c r="E44" s="7" t="s">
        <v>353</v>
      </c>
      <c r="F44" s="44">
        <v>-334658.34000000003</v>
      </c>
    </row>
    <row r="45" spans="1:6" ht="12.75" customHeight="1">
      <c r="A45" s="7" t="s">
        <v>315</v>
      </c>
      <c r="B45" s="3">
        <v>45020</v>
      </c>
      <c r="C45" s="7" t="s">
        <v>316</v>
      </c>
      <c r="D45" s="7" t="s">
        <v>319</v>
      </c>
      <c r="E45" s="7" t="s">
        <v>354</v>
      </c>
      <c r="F45" s="44">
        <v>123666.68</v>
      </c>
    </row>
    <row r="46" spans="1:6" ht="12.75" customHeight="1">
      <c r="A46" s="7" t="s">
        <v>315</v>
      </c>
      <c r="B46" s="3">
        <v>45020</v>
      </c>
      <c r="C46" s="7" t="s">
        <v>316</v>
      </c>
      <c r="D46" s="7" t="s">
        <v>319</v>
      </c>
      <c r="E46" s="7" t="s">
        <v>355</v>
      </c>
      <c r="F46" s="44">
        <v>-21482</v>
      </c>
    </row>
    <row r="47" spans="1:6" ht="12.75" customHeight="1">
      <c r="A47" s="7" t="s">
        <v>315</v>
      </c>
      <c r="B47" s="3">
        <v>45020</v>
      </c>
      <c r="C47" s="7" t="s">
        <v>316</v>
      </c>
      <c r="D47" s="7" t="s">
        <v>319</v>
      </c>
      <c r="E47" s="7" t="s">
        <v>356</v>
      </c>
      <c r="F47" s="44">
        <v>-190965</v>
      </c>
    </row>
    <row r="48" spans="1:6" ht="12.75" customHeight="1">
      <c r="A48" s="7" t="s">
        <v>315</v>
      </c>
      <c r="B48" s="3">
        <v>45020</v>
      </c>
      <c r="C48" s="7" t="s">
        <v>316</v>
      </c>
      <c r="D48" s="7" t="s">
        <v>319</v>
      </c>
      <c r="E48" s="7" t="s">
        <v>357</v>
      </c>
      <c r="F48" s="44">
        <v>-225014.45</v>
      </c>
    </row>
    <row r="49" spans="1:6" ht="12.75" customHeight="1">
      <c r="A49" s="7" t="s">
        <v>315</v>
      </c>
      <c r="B49" s="3">
        <v>45020</v>
      </c>
      <c r="C49" s="7" t="s">
        <v>316</v>
      </c>
      <c r="D49" s="7" t="s">
        <v>319</v>
      </c>
      <c r="E49" s="7" t="s">
        <v>358</v>
      </c>
      <c r="F49" s="44">
        <v>-384952.87</v>
      </c>
    </row>
    <row r="50" spans="1:6" ht="12.75" customHeight="1">
      <c r="A50" s="7" t="s">
        <v>315</v>
      </c>
      <c r="B50" s="3">
        <v>45020</v>
      </c>
      <c r="C50" s="7" t="s">
        <v>316</v>
      </c>
      <c r="D50" s="7" t="s">
        <v>319</v>
      </c>
      <c r="E50" s="7" t="s">
        <v>359</v>
      </c>
      <c r="F50" s="44">
        <v>-2232582</v>
      </c>
    </row>
    <row r="51" spans="1:6" ht="12.75" customHeight="1">
      <c r="A51" s="7" t="s">
        <v>315</v>
      </c>
      <c r="B51" s="3">
        <v>45020</v>
      </c>
      <c r="C51" s="7" t="s">
        <v>316</v>
      </c>
      <c r="D51" s="7" t="s">
        <v>319</v>
      </c>
      <c r="E51" s="7" t="s">
        <v>360</v>
      </c>
      <c r="F51" s="44">
        <v>-6811293</v>
      </c>
    </row>
    <row r="52" spans="1:6" ht="12.75" customHeight="1">
      <c r="A52" s="7" t="s">
        <v>315</v>
      </c>
      <c r="B52" s="3">
        <v>45020</v>
      </c>
      <c r="C52" s="7" t="s">
        <v>316</v>
      </c>
      <c r="D52" s="7" t="s">
        <v>319</v>
      </c>
      <c r="E52" s="7" t="s">
        <v>361</v>
      </c>
      <c r="F52" s="44">
        <v>-240890</v>
      </c>
    </row>
    <row r="53" spans="1:6" ht="12.75" customHeight="1">
      <c r="A53" s="7" t="s">
        <v>315</v>
      </c>
      <c r="B53" s="3">
        <v>45020</v>
      </c>
      <c r="C53" s="7" t="s">
        <v>316</v>
      </c>
      <c r="D53" s="7" t="s">
        <v>319</v>
      </c>
      <c r="E53" s="7" t="s">
        <v>362</v>
      </c>
      <c r="F53" s="44">
        <v>-408459</v>
      </c>
    </row>
    <row r="54" spans="1:6" ht="12.75" customHeight="1">
      <c r="A54" s="7" t="s">
        <v>315</v>
      </c>
      <c r="B54" s="3">
        <v>45020</v>
      </c>
      <c r="C54" s="7" t="s">
        <v>316</v>
      </c>
      <c r="D54" s="7" t="s">
        <v>319</v>
      </c>
      <c r="E54" s="7" t="s">
        <v>363</v>
      </c>
      <c r="F54" s="44">
        <v>-10074</v>
      </c>
    </row>
    <row r="55" spans="1:6" ht="12.75" customHeight="1">
      <c r="A55" s="7" t="s">
        <v>315</v>
      </c>
      <c r="B55" s="3">
        <v>46300</v>
      </c>
      <c r="C55" s="7" t="s">
        <v>316</v>
      </c>
      <c r="D55" s="7" t="s">
        <v>317</v>
      </c>
      <c r="E55" s="7" t="s">
        <v>318</v>
      </c>
      <c r="F55" s="44">
        <v>4361.05</v>
      </c>
    </row>
    <row r="56" spans="1:6" ht="12.75" customHeight="1">
      <c r="A56" s="7" t="s">
        <v>315</v>
      </c>
      <c r="B56" s="3">
        <v>50110</v>
      </c>
      <c r="C56" s="7" t="s">
        <v>316</v>
      </c>
      <c r="D56" s="7" t="s">
        <v>317</v>
      </c>
      <c r="E56" s="7" t="s">
        <v>364</v>
      </c>
      <c r="F56" s="44">
        <v>566039.36</v>
      </c>
    </row>
    <row r="57" spans="1:6" ht="12.75" customHeight="1">
      <c r="A57" s="7" t="s">
        <v>315</v>
      </c>
      <c r="B57" s="3">
        <v>50150</v>
      </c>
      <c r="C57" s="7" t="s">
        <v>316</v>
      </c>
      <c r="D57" s="7" t="s">
        <v>317</v>
      </c>
      <c r="E57" s="7" t="s">
        <v>364</v>
      </c>
      <c r="F57" s="44">
        <v>56328.76</v>
      </c>
    </row>
    <row r="58" spans="1:6" ht="12.75" customHeight="1">
      <c r="A58" s="7" t="s">
        <v>315</v>
      </c>
      <c r="B58" s="3">
        <v>50410</v>
      </c>
      <c r="C58" s="7" t="s">
        <v>316</v>
      </c>
      <c r="D58" s="7" t="s">
        <v>317</v>
      </c>
      <c r="E58" s="7" t="s">
        <v>364</v>
      </c>
      <c r="F58" s="44">
        <v>0</v>
      </c>
    </row>
    <row r="59" spans="1:6" ht="12.75" customHeight="1">
      <c r="A59" s="7" t="s">
        <v>315</v>
      </c>
      <c r="B59" s="3">
        <v>50420</v>
      </c>
      <c r="C59" s="7" t="s">
        <v>316</v>
      </c>
      <c r="D59" s="7" t="s">
        <v>317</v>
      </c>
      <c r="E59" s="7" t="s">
        <v>364</v>
      </c>
      <c r="F59" s="44">
        <v>0</v>
      </c>
    </row>
    <row r="60" spans="1:6" ht="12.75" customHeight="1">
      <c r="A60" s="7" t="s">
        <v>315</v>
      </c>
      <c r="B60" s="3">
        <v>50430</v>
      </c>
      <c r="C60" s="7" t="s">
        <v>316</v>
      </c>
      <c r="D60" s="7" t="s">
        <v>317</v>
      </c>
      <c r="E60" s="7" t="s">
        <v>364</v>
      </c>
      <c r="F60" s="44">
        <v>0</v>
      </c>
    </row>
    <row r="61" spans="1:6" ht="12.75" customHeight="1">
      <c r="A61" s="7" t="s">
        <v>315</v>
      </c>
      <c r="B61" s="3">
        <v>50441</v>
      </c>
      <c r="C61" s="7" t="s">
        <v>316</v>
      </c>
      <c r="D61" s="7" t="s">
        <v>317</v>
      </c>
      <c r="E61" s="7" t="s">
        <v>364</v>
      </c>
      <c r="F61" s="44">
        <v>0</v>
      </c>
    </row>
    <row r="62" spans="1:6" ht="12.75" customHeight="1">
      <c r="A62" s="7" t="s">
        <v>315</v>
      </c>
      <c r="B62" s="3">
        <v>50442</v>
      </c>
      <c r="C62" s="7" t="s">
        <v>316</v>
      </c>
      <c r="D62" s="7" t="s">
        <v>317</v>
      </c>
      <c r="E62" s="7" t="s">
        <v>364</v>
      </c>
      <c r="F62" s="44">
        <v>0</v>
      </c>
    </row>
    <row r="63" spans="1:6" ht="12.75" customHeight="1">
      <c r="A63" s="7" t="s">
        <v>315</v>
      </c>
      <c r="B63" s="3">
        <v>50471</v>
      </c>
      <c r="C63" s="7" t="s">
        <v>316</v>
      </c>
      <c r="D63" s="7" t="s">
        <v>317</v>
      </c>
      <c r="E63" s="7" t="s">
        <v>364</v>
      </c>
      <c r="F63" s="44">
        <v>0</v>
      </c>
    </row>
    <row r="64" spans="1:6" ht="12.75" customHeight="1">
      <c r="A64" s="7" t="s">
        <v>315</v>
      </c>
      <c r="B64" s="3">
        <v>50710</v>
      </c>
      <c r="C64" s="7" t="s">
        <v>316</v>
      </c>
      <c r="D64" s="7" t="s">
        <v>317</v>
      </c>
      <c r="E64" s="7" t="s">
        <v>364</v>
      </c>
      <c r="F64" s="44">
        <v>0</v>
      </c>
    </row>
    <row r="65" spans="1:6" ht="12.75" customHeight="1">
      <c r="A65" s="7" t="s">
        <v>315</v>
      </c>
      <c r="B65" s="3">
        <v>50710</v>
      </c>
      <c r="C65" s="7" t="s">
        <v>316</v>
      </c>
      <c r="D65" s="7" t="s">
        <v>317</v>
      </c>
      <c r="E65" s="7" t="s">
        <v>365</v>
      </c>
      <c r="F65" s="44">
        <v>1080</v>
      </c>
    </row>
    <row r="66" spans="1:6" ht="12.75" customHeight="1">
      <c r="A66" s="7" t="s">
        <v>315</v>
      </c>
      <c r="B66" s="3">
        <v>51761</v>
      </c>
      <c r="C66" s="7" t="s">
        <v>316</v>
      </c>
      <c r="D66" s="7" t="s">
        <v>317</v>
      </c>
      <c r="E66" s="7" t="s">
        <v>365</v>
      </c>
      <c r="F66" s="44">
        <v>522</v>
      </c>
    </row>
    <row r="67" spans="1:6" ht="12.75" customHeight="1">
      <c r="A67" s="7" t="s">
        <v>315</v>
      </c>
      <c r="B67" s="3">
        <v>51764</v>
      </c>
      <c r="C67" s="7" t="s">
        <v>316</v>
      </c>
      <c r="D67" s="7" t="s">
        <v>317</v>
      </c>
      <c r="E67" s="7" t="s">
        <v>365</v>
      </c>
      <c r="F67" s="44">
        <v>10868.07</v>
      </c>
    </row>
    <row r="68" spans="1:6" ht="12.75" customHeight="1">
      <c r="A68" s="7" t="s">
        <v>315</v>
      </c>
      <c r="B68" s="3">
        <v>51850</v>
      </c>
      <c r="C68" s="7" t="s">
        <v>316</v>
      </c>
      <c r="D68" s="7" t="s">
        <v>317</v>
      </c>
      <c r="E68" s="7" t="s">
        <v>365</v>
      </c>
      <c r="F68" s="44">
        <v>751.92</v>
      </c>
    </row>
    <row r="69" spans="1:6" ht="12.75" customHeight="1">
      <c r="A69" s="7" t="s">
        <v>315</v>
      </c>
      <c r="B69" s="3">
        <v>51873</v>
      </c>
      <c r="C69" s="7" t="s">
        <v>316</v>
      </c>
      <c r="D69" s="7" t="s">
        <v>317</v>
      </c>
      <c r="E69" s="7" t="s">
        <v>365</v>
      </c>
      <c r="F69" s="44">
        <v>-1748.71</v>
      </c>
    </row>
    <row r="70" spans="1:6" ht="12.75" customHeight="1">
      <c r="A70" s="7" t="s">
        <v>315</v>
      </c>
      <c r="B70" s="3">
        <v>51874</v>
      </c>
      <c r="C70" s="7" t="s">
        <v>316</v>
      </c>
      <c r="D70" s="7" t="s">
        <v>317</v>
      </c>
      <c r="E70" s="7" t="s">
        <v>365</v>
      </c>
      <c r="F70" s="44">
        <v>-622.71</v>
      </c>
    </row>
    <row r="71" spans="1:6" ht="12.75" customHeight="1">
      <c r="A71" s="7" t="s">
        <v>315</v>
      </c>
      <c r="B71" s="3">
        <v>52511</v>
      </c>
      <c r="C71" s="7" t="s">
        <v>316</v>
      </c>
      <c r="D71" s="7" t="s">
        <v>317</v>
      </c>
      <c r="E71" s="7" t="s">
        <v>365</v>
      </c>
      <c r="F71" s="44">
        <v>7081.2</v>
      </c>
    </row>
    <row r="72" spans="1:6" ht="12.75" customHeight="1">
      <c r="A72" s="7" t="s">
        <v>315</v>
      </c>
      <c r="B72" s="3">
        <v>52531</v>
      </c>
      <c r="C72" s="7" t="s">
        <v>316</v>
      </c>
      <c r="D72" s="7" t="s">
        <v>317</v>
      </c>
      <c r="E72" s="7" t="s">
        <v>365</v>
      </c>
      <c r="F72" s="44">
        <v>532</v>
      </c>
    </row>
    <row r="73" spans="1:6" ht="12.75" customHeight="1">
      <c r="A73" s="7" t="s">
        <v>315</v>
      </c>
      <c r="B73" s="3">
        <v>53011</v>
      </c>
      <c r="C73" s="7" t="s">
        <v>316</v>
      </c>
      <c r="D73" s="7" t="s">
        <v>317</v>
      </c>
      <c r="E73" s="7" t="s">
        <v>365</v>
      </c>
      <c r="F73" s="44">
        <v>7895</v>
      </c>
    </row>
    <row r="74" spans="1:6" ht="12.75" customHeight="1">
      <c r="A74" s="7" t="s">
        <v>315</v>
      </c>
      <c r="B74" s="3">
        <v>53755</v>
      </c>
      <c r="C74" s="7" t="s">
        <v>316</v>
      </c>
      <c r="D74" s="7" t="s">
        <v>317</v>
      </c>
      <c r="E74" s="7" t="s">
        <v>365</v>
      </c>
      <c r="F74" s="44">
        <v>356</v>
      </c>
    </row>
    <row r="75" spans="1:6" ht="12.75" customHeight="1">
      <c r="A75" s="7" t="s">
        <v>315</v>
      </c>
      <c r="B75" s="3">
        <v>53900</v>
      </c>
      <c r="C75" s="7" t="s">
        <v>316</v>
      </c>
      <c r="D75" s="7" t="s">
        <v>317</v>
      </c>
      <c r="E75" s="7" t="s">
        <v>365</v>
      </c>
      <c r="F75" s="44">
        <v>142.56</v>
      </c>
    </row>
    <row r="76" spans="1:6" ht="12.75" customHeight="1">
      <c r="A76" s="7" t="s">
        <v>315</v>
      </c>
      <c r="B76" s="3">
        <v>54060</v>
      </c>
      <c r="C76" s="7" t="s">
        <v>316</v>
      </c>
      <c r="D76" s="7" t="s">
        <v>317</v>
      </c>
      <c r="E76" s="7" t="s">
        <v>365</v>
      </c>
      <c r="F76" s="44">
        <v>4863</v>
      </c>
    </row>
    <row r="77" spans="1:6" ht="12.75" customHeight="1">
      <c r="A77" s="7" t="s">
        <v>315</v>
      </c>
      <c r="B77" s="3">
        <v>44092</v>
      </c>
      <c r="C77" s="7" t="s">
        <v>366</v>
      </c>
      <c r="D77" s="7" t="s">
        <v>367</v>
      </c>
      <c r="E77" s="7" t="s">
        <v>368</v>
      </c>
      <c r="F77" s="44">
        <v>-173.06</v>
      </c>
    </row>
    <row r="78" spans="1:6" ht="12.75" customHeight="1">
      <c r="A78" s="7" t="s">
        <v>315</v>
      </c>
      <c r="B78" s="3">
        <v>45500</v>
      </c>
      <c r="C78" s="7" t="s">
        <v>366</v>
      </c>
      <c r="D78" s="7" t="s">
        <v>319</v>
      </c>
      <c r="E78" s="7" t="s">
        <v>369</v>
      </c>
      <c r="F78" s="44">
        <v>-706.37</v>
      </c>
    </row>
    <row r="79" spans="1:6" ht="12.75" customHeight="1">
      <c r="A79" s="7" t="s">
        <v>315</v>
      </c>
      <c r="B79" s="3">
        <v>47100</v>
      </c>
      <c r="C79" s="7" t="s">
        <v>366</v>
      </c>
      <c r="D79" s="7" t="s">
        <v>319</v>
      </c>
      <c r="E79" s="7" t="s">
        <v>370</v>
      </c>
      <c r="F79" s="44">
        <v>-335046</v>
      </c>
    </row>
    <row r="80" spans="1:6" ht="12.75" customHeight="1">
      <c r="A80" s="7" t="s">
        <v>315</v>
      </c>
      <c r="B80" s="3">
        <v>47100</v>
      </c>
      <c r="C80" s="7" t="s">
        <v>366</v>
      </c>
      <c r="D80" s="7" t="s">
        <v>319</v>
      </c>
      <c r="E80" s="7" t="s">
        <v>371</v>
      </c>
      <c r="F80" s="44">
        <v>-288251.82</v>
      </c>
    </row>
    <row r="81" spans="1:6" ht="12.75" customHeight="1">
      <c r="A81" s="7" t="s">
        <v>315</v>
      </c>
      <c r="B81" s="3">
        <v>47100</v>
      </c>
      <c r="C81" s="7" t="s">
        <v>366</v>
      </c>
      <c r="D81" s="7" t="s">
        <v>319</v>
      </c>
      <c r="E81" s="7" t="s">
        <v>372</v>
      </c>
      <c r="F81" s="44">
        <v>-372111</v>
      </c>
    </row>
    <row r="82" spans="1:6" ht="12.75" customHeight="1">
      <c r="A82" s="7" t="s">
        <v>315</v>
      </c>
      <c r="B82" s="3">
        <v>47100</v>
      </c>
      <c r="C82" s="7" t="s">
        <v>366</v>
      </c>
      <c r="D82" s="7" t="s">
        <v>319</v>
      </c>
      <c r="E82" s="7" t="s">
        <v>373</v>
      </c>
      <c r="F82" s="44">
        <v>-50268</v>
      </c>
    </row>
    <row r="83" spans="1:6" ht="12.75" customHeight="1">
      <c r="A83" s="7" t="s">
        <v>315</v>
      </c>
      <c r="B83" s="3">
        <v>50750</v>
      </c>
      <c r="C83" s="7" t="s">
        <v>366</v>
      </c>
      <c r="D83" s="7" t="s">
        <v>317</v>
      </c>
      <c r="E83" s="7" t="s">
        <v>365</v>
      </c>
      <c r="F83" s="44">
        <v>1881</v>
      </c>
    </row>
    <row r="84" spans="1:6" ht="12.75" customHeight="1">
      <c r="A84" s="7" t="s">
        <v>315</v>
      </c>
      <c r="B84" s="3">
        <v>51112</v>
      </c>
      <c r="C84" s="7" t="s">
        <v>366</v>
      </c>
      <c r="D84" s="7" t="s">
        <v>317</v>
      </c>
      <c r="E84" s="7" t="s">
        <v>365</v>
      </c>
      <c r="F84" s="44">
        <v>1909.5</v>
      </c>
    </row>
    <row r="85" spans="1:6" ht="12.75" customHeight="1">
      <c r="A85" s="7" t="s">
        <v>315</v>
      </c>
      <c r="B85" s="3">
        <v>51250</v>
      </c>
      <c r="C85" s="7" t="s">
        <v>366</v>
      </c>
      <c r="D85" s="7" t="s">
        <v>317</v>
      </c>
      <c r="E85" s="7" t="s">
        <v>365</v>
      </c>
      <c r="F85" s="44">
        <v>2500</v>
      </c>
    </row>
    <row r="86" spans="1:6" ht="12.75" customHeight="1">
      <c r="A86" s="7" t="s">
        <v>315</v>
      </c>
      <c r="B86" s="3">
        <v>51290</v>
      </c>
      <c r="C86" s="7" t="s">
        <v>366</v>
      </c>
      <c r="D86" s="7" t="s">
        <v>319</v>
      </c>
      <c r="E86" s="7" t="s">
        <v>374</v>
      </c>
      <c r="F86" s="44">
        <v>644.53</v>
      </c>
    </row>
    <row r="87" spans="1:6" ht="12.75" customHeight="1">
      <c r="A87" s="7" t="s">
        <v>315</v>
      </c>
      <c r="B87" s="3">
        <v>51290</v>
      </c>
      <c r="C87" s="7" t="s">
        <v>366</v>
      </c>
      <c r="D87" s="7" t="s">
        <v>319</v>
      </c>
      <c r="E87" s="7" t="s">
        <v>375</v>
      </c>
      <c r="F87" s="44">
        <v>964.46</v>
      </c>
    </row>
    <row r="88" spans="1:6" ht="12.75" customHeight="1">
      <c r="A88" s="7" t="s">
        <v>315</v>
      </c>
      <c r="B88" s="3">
        <v>51290</v>
      </c>
      <c r="C88" s="7" t="s">
        <v>366</v>
      </c>
      <c r="D88" s="7" t="s">
        <v>319</v>
      </c>
      <c r="E88" s="7" t="s">
        <v>376</v>
      </c>
      <c r="F88" s="44">
        <v>3033.09</v>
      </c>
    </row>
    <row r="89" spans="1:6" ht="12.75" customHeight="1">
      <c r="A89" s="7" t="s">
        <v>315</v>
      </c>
      <c r="B89" s="3">
        <v>51290</v>
      </c>
      <c r="C89" s="7" t="s">
        <v>366</v>
      </c>
      <c r="D89" s="7" t="s">
        <v>319</v>
      </c>
      <c r="E89" s="7" t="s">
        <v>377</v>
      </c>
      <c r="F89" s="44">
        <v>-1292.21</v>
      </c>
    </row>
    <row r="90" spans="1:6" ht="12.75" customHeight="1">
      <c r="A90" s="7" t="s">
        <v>315</v>
      </c>
      <c r="B90" s="3">
        <v>51290</v>
      </c>
      <c r="C90" s="7" t="s">
        <v>366</v>
      </c>
      <c r="D90" s="7" t="s">
        <v>319</v>
      </c>
      <c r="E90" s="7" t="s">
        <v>378</v>
      </c>
      <c r="F90" s="44">
        <v>115721.33</v>
      </c>
    </row>
    <row r="91" spans="1:6" ht="12.75" customHeight="1">
      <c r="A91" s="7" t="s">
        <v>315</v>
      </c>
      <c r="B91" s="3">
        <v>51290</v>
      </c>
      <c r="C91" s="7" t="s">
        <v>366</v>
      </c>
      <c r="D91" s="7" t="s">
        <v>319</v>
      </c>
      <c r="E91" s="7" t="s">
        <v>379</v>
      </c>
      <c r="F91" s="44">
        <v>2998.32</v>
      </c>
    </row>
    <row r="92" spans="1:6" ht="12.75" customHeight="1">
      <c r="A92" s="7" t="s">
        <v>315</v>
      </c>
      <c r="B92" s="3">
        <v>51290</v>
      </c>
      <c r="C92" s="7" t="s">
        <v>366</v>
      </c>
      <c r="D92" s="7" t="s">
        <v>367</v>
      </c>
      <c r="E92" s="7" t="s">
        <v>380</v>
      </c>
      <c r="F92" s="44">
        <v>1479.26</v>
      </c>
    </row>
    <row r="93" spans="1:6" ht="12.75" customHeight="1">
      <c r="A93" s="7" t="s">
        <v>315</v>
      </c>
      <c r="B93" s="3">
        <v>51510</v>
      </c>
      <c r="C93" s="7" t="s">
        <v>366</v>
      </c>
      <c r="D93" s="7" t="s">
        <v>317</v>
      </c>
      <c r="E93" s="7" t="s">
        <v>365</v>
      </c>
      <c r="F93" s="44">
        <v>600</v>
      </c>
    </row>
    <row r="94" spans="1:6" ht="12.75" customHeight="1">
      <c r="A94" s="7" t="s">
        <v>315</v>
      </c>
      <c r="B94" s="3">
        <v>51620</v>
      </c>
      <c r="C94" s="7" t="s">
        <v>366</v>
      </c>
      <c r="D94" s="7" t="s">
        <v>317</v>
      </c>
      <c r="E94" s="7" t="s">
        <v>365</v>
      </c>
      <c r="F94" s="44">
        <v>19868.53</v>
      </c>
    </row>
    <row r="95" spans="1:6" ht="12.75" customHeight="1">
      <c r="A95" s="7" t="s">
        <v>315</v>
      </c>
      <c r="B95" s="3">
        <v>51620</v>
      </c>
      <c r="C95" s="7" t="s">
        <v>366</v>
      </c>
      <c r="D95" s="7" t="s">
        <v>319</v>
      </c>
      <c r="E95" s="7" t="s">
        <v>381</v>
      </c>
      <c r="F95" s="44">
        <v>545.23</v>
      </c>
    </row>
    <row r="96" spans="1:6" ht="12.75" customHeight="1">
      <c r="A96" s="7" t="s">
        <v>315</v>
      </c>
      <c r="B96" s="3">
        <v>51620</v>
      </c>
      <c r="C96" s="7" t="s">
        <v>366</v>
      </c>
      <c r="D96" s="7" t="s">
        <v>319</v>
      </c>
      <c r="E96" s="7" t="s">
        <v>375</v>
      </c>
      <c r="F96" s="44">
        <v>0</v>
      </c>
    </row>
    <row r="97" spans="1:6" ht="12.75" customHeight="1">
      <c r="A97" s="7" t="s">
        <v>315</v>
      </c>
      <c r="B97" s="3">
        <v>51620</v>
      </c>
      <c r="C97" s="7" t="s">
        <v>366</v>
      </c>
      <c r="D97" s="7" t="s">
        <v>319</v>
      </c>
      <c r="E97" s="7" t="s">
        <v>378</v>
      </c>
      <c r="F97" s="44">
        <v>9884.77</v>
      </c>
    </row>
    <row r="98" spans="1:6" ht="12.75" customHeight="1">
      <c r="A98" s="7" t="s">
        <v>315</v>
      </c>
      <c r="B98" s="3">
        <v>51620</v>
      </c>
      <c r="C98" s="7" t="s">
        <v>366</v>
      </c>
      <c r="D98" s="7" t="s">
        <v>319</v>
      </c>
      <c r="E98" s="7" t="s">
        <v>379</v>
      </c>
      <c r="F98" s="44">
        <v>2800</v>
      </c>
    </row>
    <row r="99" spans="1:6" ht="12.75" customHeight="1">
      <c r="A99" s="7" t="s">
        <v>315</v>
      </c>
      <c r="B99" s="3">
        <v>51640</v>
      </c>
      <c r="C99" s="7" t="s">
        <v>366</v>
      </c>
      <c r="D99" s="7" t="s">
        <v>317</v>
      </c>
      <c r="E99" s="7" t="s">
        <v>365</v>
      </c>
      <c r="F99" s="44">
        <v>7509</v>
      </c>
    </row>
    <row r="100" spans="1:6" ht="12.75" customHeight="1">
      <c r="A100" s="7" t="s">
        <v>315</v>
      </c>
      <c r="B100" s="3">
        <v>51672</v>
      </c>
      <c r="C100" s="7" t="s">
        <v>366</v>
      </c>
      <c r="D100" s="7" t="s">
        <v>317</v>
      </c>
      <c r="E100" s="7" t="s">
        <v>365</v>
      </c>
      <c r="F100" s="44">
        <v>513</v>
      </c>
    </row>
    <row r="101" spans="1:6" ht="12.75" customHeight="1">
      <c r="A101" s="7" t="s">
        <v>315</v>
      </c>
      <c r="B101" s="3">
        <v>51675</v>
      </c>
      <c r="C101" s="7" t="s">
        <v>366</v>
      </c>
      <c r="D101" s="7" t="s">
        <v>317</v>
      </c>
      <c r="E101" s="7" t="s">
        <v>365</v>
      </c>
      <c r="F101" s="44">
        <v>200</v>
      </c>
    </row>
    <row r="102" spans="1:6" ht="12.75" customHeight="1">
      <c r="A102" s="7" t="s">
        <v>315</v>
      </c>
      <c r="B102" s="3">
        <v>51694</v>
      </c>
      <c r="C102" s="7" t="s">
        <v>366</v>
      </c>
      <c r="D102" s="7" t="s">
        <v>317</v>
      </c>
      <c r="E102" s="7" t="s">
        <v>365</v>
      </c>
      <c r="F102" s="44">
        <v>29950</v>
      </c>
    </row>
    <row r="103" spans="1:6" ht="12.75" customHeight="1">
      <c r="A103" s="7" t="s">
        <v>315</v>
      </c>
      <c r="B103" s="3">
        <v>51695</v>
      </c>
      <c r="C103" s="7" t="s">
        <v>366</v>
      </c>
      <c r="D103" s="7" t="s">
        <v>367</v>
      </c>
      <c r="E103" s="7" t="s">
        <v>380</v>
      </c>
      <c r="F103" s="44">
        <v>11292.75</v>
      </c>
    </row>
    <row r="104" spans="1:6" ht="12.75" customHeight="1">
      <c r="A104" s="7" t="s">
        <v>315</v>
      </c>
      <c r="B104" s="3">
        <v>51761</v>
      </c>
      <c r="C104" s="7" t="s">
        <v>366</v>
      </c>
      <c r="D104" s="7" t="s">
        <v>317</v>
      </c>
      <c r="E104" s="7" t="s">
        <v>365</v>
      </c>
      <c r="F104" s="44">
        <v>35</v>
      </c>
    </row>
    <row r="105" spans="1:6" ht="12.75" customHeight="1">
      <c r="A105" s="7" t="s">
        <v>315</v>
      </c>
      <c r="B105" s="3">
        <v>51764</v>
      </c>
      <c r="C105" s="7" t="s">
        <v>366</v>
      </c>
      <c r="D105" s="7" t="s">
        <v>317</v>
      </c>
      <c r="E105" s="7" t="s">
        <v>365</v>
      </c>
      <c r="F105" s="44">
        <v>4399.01</v>
      </c>
    </row>
    <row r="106" spans="1:6" ht="12.75" customHeight="1">
      <c r="A106" s="7" t="s">
        <v>315</v>
      </c>
      <c r="B106" s="3">
        <v>51780</v>
      </c>
      <c r="C106" s="7" t="s">
        <v>366</v>
      </c>
      <c r="D106" s="7" t="s">
        <v>317</v>
      </c>
      <c r="E106" s="7" t="s">
        <v>365</v>
      </c>
      <c r="F106" s="44">
        <v>73760</v>
      </c>
    </row>
    <row r="107" spans="1:6" ht="12.75" customHeight="1">
      <c r="A107" s="7" t="s">
        <v>315</v>
      </c>
      <c r="B107" s="3">
        <v>51981</v>
      </c>
      <c r="C107" s="7" t="s">
        <v>366</v>
      </c>
      <c r="D107" s="7" t="s">
        <v>317</v>
      </c>
      <c r="E107" s="7" t="s">
        <v>365</v>
      </c>
      <c r="F107" s="44">
        <v>84</v>
      </c>
    </row>
    <row r="108" spans="1:6" ht="12.75" customHeight="1">
      <c r="A108" s="7" t="s">
        <v>315</v>
      </c>
      <c r="B108" s="3">
        <v>52511</v>
      </c>
      <c r="C108" s="7" t="s">
        <v>366</v>
      </c>
      <c r="D108" s="7" t="s">
        <v>317</v>
      </c>
      <c r="E108" s="7" t="s">
        <v>365</v>
      </c>
      <c r="F108" s="44">
        <v>3105</v>
      </c>
    </row>
    <row r="109" spans="1:6" ht="12.75" customHeight="1">
      <c r="A109" s="7" t="s">
        <v>315</v>
      </c>
      <c r="B109" s="3">
        <v>52541</v>
      </c>
      <c r="C109" s="7" t="s">
        <v>366</v>
      </c>
      <c r="D109" s="7" t="s">
        <v>317</v>
      </c>
      <c r="E109" s="7" t="s">
        <v>382</v>
      </c>
      <c r="F109" s="44">
        <v>1500</v>
      </c>
    </row>
    <row r="110" spans="1:6" ht="12.75" customHeight="1">
      <c r="A110" s="7" t="s">
        <v>315</v>
      </c>
      <c r="B110" s="3">
        <v>53011</v>
      </c>
      <c r="C110" s="7" t="s">
        <v>366</v>
      </c>
      <c r="D110" s="7" t="s">
        <v>317</v>
      </c>
      <c r="E110" s="7" t="s">
        <v>365</v>
      </c>
      <c r="F110" s="44">
        <v>6346</v>
      </c>
    </row>
    <row r="111" spans="1:6" ht="12.75" customHeight="1">
      <c r="A111" s="7" t="s">
        <v>315</v>
      </c>
      <c r="B111" s="3">
        <v>53017</v>
      </c>
      <c r="C111" s="7" t="s">
        <v>366</v>
      </c>
      <c r="D111" s="7" t="s">
        <v>317</v>
      </c>
      <c r="E111" s="7" t="s">
        <v>365</v>
      </c>
      <c r="F111" s="44">
        <v>7762.32</v>
      </c>
    </row>
    <row r="112" spans="1:6" ht="12.75" customHeight="1">
      <c r="A112" s="7" t="s">
        <v>315</v>
      </c>
      <c r="B112" s="3">
        <v>53018</v>
      </c>
      <c r="C112" s="7" t="s">
        <v>366</v>
      </c>
      <c r="D112" s="7" t="s">
        <v>317</v>
      </c>
      <c r="E112" s="7" t="s">
        <v>365</v>
      </c>
      <c r="F112" s="44">
        <v>1878.57</v>
      </c>
    </row>
    <row r="113" spans="1:6" ht="12.75" customHeight="1">
      <c r="A113" s="7" t="s">
        <v>315</v>
      </c>
      <c r="B113" s="3">
        <v>53020</v>
      </c>
      <c r="C113" s="7" t="s">
        <v>366</v>
      </c>
      <c r="D113" s="7" t="s">
        <v>317</v>
      </c>
      <c r="E113" s="7" t="s">
        <v>365</v>
      </c>
      <c r="F113" s="44">
        <v>13900.98</v>
      </c>
    </row>
    <row r="114" spans="1:6" ht="12.75" customHeight="1">
      <c r="A114" s="7" t="s">
        <v>315</v>
      </c>
      <c r="B114" s="3">
        <v>53021</v>
      </c>
      <c r="C114" s="7" t="s">
        <v>366</v>
      </c>
      <c r="D114" s="7" t="s">
        <v>317</v>
      </c>
      <c r="E114" s="7" t="s">
        <v>365</v>
      </c>
      <c r="F114" s="44">
        <v>300</v>
      </c>
    </row>
    <row r="115" spans="1:6" ht="12.75" customHeight="1">
      <c r="A115" s="7" t="s">
        <v>315</v>
      </c>
      <c r="B115" s="3">
        <v>53401</v>
      </c>
      <c r="C115" s="7" t="s">
        <v>366</v>
      </c>
      <c r="D115" s="7" t="s">
        <v>317</v>
      </c>
      <c r="E115" s="7" t="s">
        <v>365</v>
      </c>
      <c r="F115" s="44">
        <v>50.4</v>
      </c>
    </row>
    <row r="116" spans="1:6" ht="12.75" customHeight="1">
      <c r="A116" s="7" t="s">
        <v>315</v>
      </c>
      <c r="B116" s="3">
        <v>53755</v>
      </c>
      <c r="C116" s="7" t="s">
        <v>366</v>
      </c>
      <c r="D116" s="7" t="s">
        <v>319</v>
      </c>
      <c r="E116" s="7" t="s">
        <v>381</v>
      </c>
      <c r="F116" s="44">
        <v>4105</v>
      </c>
    </row>
    <row r="117" spans="1:6" ht="12.75" customHeight="1">
      <c r="A117" s="7" t="s">
        <v>315</v>
      </c>
      <c r="B117" s="3">
        <v>53755</v>
      </c>
      <c r="C117" s="7" t="s">
        <v>366</v>
      </c>
      <c r="D117" s="7" t="s">
        <v>319</v>
      </c>
      <c r="E117" s="7" t="s">
        <v>374</v>
      </c>
      <c r="F117" s="44">
        <v>1559.61</v>
      </c>
    </row>
    <row r="118" spans="1:6" ht="12.75" customHeight="1">
      <c r="A118" s="7" t="s">
        <v>315</v>
      </c>
      <c r="B118" s="3">
        <v>54060</v>
      </c>
      <c r="C118" s="7" t="s">
        <v>366</v>
      </c>
      <c r="D118" s="7" t="s">
        <v>317</v>
      </c>
      <c r="E118" s="7" t="s">
        <v>365</v>
      </c>
      <c r="F118" s="44">
        <v>1863.65</v>
      </c>
    </row>
    <row r="119" spans="1:6" ht="12.75" customHeight="1">
      <c r="A119" s="7" t="s">
        <v>315</v>
      </c>
      <c r="B119" s="3">
        <v>54060</v>
      </c>
      <c r="C119" s="7" t="s">
        <v>366</v>
      </c>
      <c r="D119" s="7" t="s">
        <v>319</v>
      </c>
      <c r="E119" s="7" t="s">
        <v>378</v>
      </c>
      <c r="F119" s="44">
        <v>457.35</v>
      </c>
    </row>
    <row r="120" spans="1:6" ht="12.75" customHeight="1">
      <c r="A120" s="7" t="s">
        <v>315</v>
      </c>
      <c r="B120" s="3">
        <v>54150</v>
      </c>
      <c r="C120" s="7" t="s">
        <v>366</v>
      </c>
      <c r="D120" s="7" t="s">
        <v>319</v>
      </c>
      <c r="E120" s="7" t="s">
        <v>381</v>
      </c>
      <c r="F120" s="44">
        <v>1590</v>
      </c>
    </row>
    <row r="121" spans="1:6" ht="12.75" customHeight="1">
      <c r="A121" s="7" t="s">
        <v>315</v>
      </c>
      <c r="B121" s="3">
        <v>54190</v>
      </c>
      <c r="C121" s="7" t="s">
        <v>366</v>
      </c>
      <c r="D121" s="7" t="s">
        <v>317</v>
      </c>
      <c r="E121" s="7" t="s">
        <v>365</v>
      </c>
      <c r="F121" s="44">
        <v>1755.97</v>
      </c>
    </row>
    <row r="122" spans="1:6" ht="12.75" customHeight="1">
      <c r="A122" s="7" t="s">
        <v>315</v>
      </c>
      <c r="B122" s="3">
        <v>54190</v>
      </c>
      <c r="C122" s="7" t="s">
        <v>366</v>
      </c>
      <c r="D122" s="7" t="s">
        <v>319</v>
      </c>
      <c r="E122" s="7" t="s">
        <v>377</v>
      </c>
      <c r="F122" s="44">
        <v>3608.28</v>
      </c>
    </row>
    <row r="123" spans="1:6" ht="12.75" customHeight="1">
      <c r="A123" s="7" t="s">
        <v>315</v>
      </c>
      <c r="B123" s="3">
        <v>54190</v>
      </c>
      <c r="C123" s="7" t="s">
        <v>366</v>
      </c>
      <c r="D123" s="7" t="s">
        <v>319</v>
      </c>
      <c r="E123" s="7" t="s">
        <v>378</v>
      </c>
      <c r="F123" s="44">
        <v>161.80000000000001</v>
      </c>
    </row>
    <row r="124" spans="1:6" ht="12.75" customHeight="1">
      <c r="A124" s="7" t="s">
        <v>315</v>
      </c>
      <c r="B124" s="3">
        <v>44410</v>
      </c>
      <c r="C124" s="7" t="s">
        <v>383</v>
      </c>
      <c r="D124" s="7" t="s">
        <v>317</v>
      </c>
      <c r="E124" s="7" t="s">
        <v>318</v>
      </c>
      <c r="F124" s="44">
        <v>-15.96</v>
      </c>
    </row>
    <row r="125" spans="1:6" ht="12.75" customHeight="1">
      <c r="A125" s="7" t="s">
        <v>315</v>
      </c>
      <c r="B125" s="3">
        <v>50110</v>
      </c>
      <c r="C125" s="7" t="s">
        <v>383</v>
      </c>
      <c r="D125" s="7" t="s">
        <v>317</v>
      </c>
      <c r="E125" s="7" t="s">
        <v>364</v>
      </c>
      <c r="F125" s="44">
        <v>1284746.51</v>
      </c>
    </row>
    <row r="126" spans="1:6" ht="12.75" customHeight="1">
      <c r="A126" s="7" t="s">
        <v>315</v>
      </c>
      <c r="B126" s="3">
        <v>50110</v>
      </c>
      <c r="C126" s="7" t="s">
        <v>383</v>
      </c>
      <c r="D126" s="7" t="s">
        <v>319</v>
      </c>
      <c r="E126" s="7" t="s">
        <v>370</v>
      </c>
      <c r="F126" s="44">
        <v>49407.69</v>
      </c>
    </row>
    <row r="127" spans="1:6" ht="12.75" customHeight="1">
      <c r="A127" s="7" t="s">
        <v>315</v>
      </c>
      <c r="B127" s="3">
        <v>50110</v>
      </c>
      <c r="C127" s="7" t="s">
        <v>383</v>
      </c>
      <c r="D127" s="7" t="s">
        <v>319</v>
      </c>
      <c r="E127" s="7" t="s">
        <v>371</v>
      </c>
      <c r="F127" s="44">
        <v>29188.87</v>
      </c>
    </row>
    <row r="128" spans="1:6" ht="12.75" customHeight="1">
      <c r="A128" s="7" t="s">
        <v>315</v>
      </c>
      <c r="B128" s="3">
        <v>50150</v>
      </c>
      <c r="C128" s="7" t="s">
        <v>383</v>
      </c>
      <c r="D128" s="7" t="s">
        <v>317</v>
      </c>
      <c r="E128" s="7" t="s">
        <v>364</v>
      </c>
      <c r="F128" s="44">
        <v>41208.769999999997</v>
      </c>
    </row>
    <row r="129" spans="1:6" ht="12.75" customHeight="1">
      <c r="A129" s="7" t="s">
        <v>315</v>
      </c>
      <c r="B129" s="3">
        <v>50150</v>
      </c>
      <c r="C129" s="7" t="s">
        <v>383</v>
      </c>
      <c r="D129" s="7" t="s">
        <v>319</v>
      </c>
      <c r="E129" s="7" t="s">
        <v>378</v>
      </c>
      <c r="F129" s="44">
        <v>0</v>
      </c>
    </row>
    <row r="130" spans="1:6" ht="12.75" customHeight="1">
      <c r="A130" s="7" t="s">
        <v>315</v>
      </c>
      <c r="B130" s="3">
        <v>50160</v>
      </c>
      <c r="C130" s="7" t="s">
        <v>383</v>
      </c>
      <c r="D130" s="7" t="s">
        <v>317</v>
      </c>
      <c r="E130" s="7" t="s">
        <v>364</v>
      </c>
      <c r="F130" s="44">
        <v>3657.98</v>
      </c>
    </row>
    <row r="131" spans="1:6" ht="12.75" customHeight="1">
      <c r="A131" s="7" t="s">
        <v>315</v>
      </c>
      <c r="B131" s="3">
        <v>50410</v>
      </c>
      <c r="C131" s="7" t="s">
        <v>383</v>
      </c>
      <c r="D131" s="7" t="s">
        <v>317</v>
      </c>
      <c r="E131" s="7" t="s">
        <v>364</v>
      </c>
      <c r="F131" s="44">
        <v>0</v>
      </c>
    </row>
    <row r="132" spans="1:6" ht="12.75" customHeight="1">
      <c r="A132" s="7" t="s">
        <v>315</v>
      </c>
      <c r="B132" s="3">
        <v>50410</v>
      </c>
      <c r="C132" s="7" t="s">
        <v>383</v>
      </c>
      <c r="D132" s="7" t="s">
        <v>319</v>
      </c>
      <c r="E132" s="7" t="s">
        <v>371</v>
      </c>
      <c r="F132" s="44">
        <v>33.950000000000003</v>
      </c>
    </row>
    <row r="133" spans="1:6" ht="12.75" customHeight="1">
      <c r="A133" s="7" t="s">
        <v>315</v>
      </c>
      <c r="B133" s="3">
        <v>50420</v>
      </c>
      <c r="C133" s="7" t="s">
        <v>383</v>
      </c>
      <c r="D133" s="7" t="s">
        <v>317</v>
      </c>
      <c r="E133" s="7" t="s">
        <v>364</v>
      </c>
      <c r="F133" s="44">
        <v>0</v>
      </c>
    </row>
    <row r="134" spans="1:6" ht="12.75" customHeight="1">
      <c r="A134" s="7" t="s">
        <v>315</v>
      </c>
      <c r="B134" s="3">
        <v>50420</v>
      </c>
      <c r="C134" s="7" t="s">
        <v>383</v>
      </c>
      <c r="D134" s="7" t="s">
        <v>319</v>
      </c>
      <c r="E134" s="7" t="s">
        <v>378</v>
      </c>
      <c r="F134" s="44">
        <v>0</v>
      </c>
    </row>
    <row r="135" spans="1:6" ht="12.75" customHeight="1">
      <c r="A135" s="7" t="s">
        <v>315</v>
      </c>
      <c r="B135" s="3">
        <v>50420</v>
      </c>
      <c r="C135" s="7" t="s">
        <v>383</v>
      </c>
      <c r="D135" s="7" t="s">
        <v>319</v>
      </c>
      <c r="E135" s="7" t="s">
        <v>370</v>
      </c>
      <c r="F135" s="44">
        <v>10028.76</v>
      </c>
    </row>
    <row r="136" spans="1:6" ht="12.75" customHeight="1">
      <c r="A136" s="7" t="s">
        <v>315</v>
      </c>
      <c r="B136" s="3">
        <v>50420</v>
      </c>
      <c r="C136" s="7" t="s">
        <v>383</v>
      </c>
      <c r="D136" s="7" t="s">
        <v>319</v>
      </c>
      <c r="E136" s="7" t="s">
        <v>371</v>
      </c>
      <c r="F136" s="44">
        <v>3819.27</v>
      </c>
    </row>
    <row r="137" spans="1:6" ht="12.75" customHeight="1">
      <c r="A137" s="7" t="s">
        <v>315</v>
      </c>
      <c r="B137" s="3">
        <v>50430</v>
      </c>
      <c r="C137" s="7" t="s">
        <v>383</v>
      </c>
      <c r="D137" s="7" t="s">
        <v>317</v>
      </c>
      <c r="E137" s="7" t="s">
        <v>364</v>
      </c>
      <c r="F137" s="44">
        <v>0</v>
      </c>
    </row>
    <row r="138" spans="1:6" ht="12.75" customHeight="1">
      <c r="A138" s="7" t="s">
        <v>315</v>
      </c>
      <c r="B138" s="3">
        <v>50430</v>
      </c>
      <c r="C138" s="7" t="s">
        <v>383</v>
      </c>
      <c r="D138" s="7" t="s">
        <v>319</v>
      </c>
      <c r="E138" s="7" t="s">
        <v>378</v>
      </c>
      <c r="F138" s="44">
        <v>0</v>
      </c>
    </row>
    <row r="139" spans="1:6" ht="12.75" customHeight="1">
      <c r="A139" s="7" t="s">
        <v>315</v>
      </c>
      <c r="B139" s="3">
        <v>50430</v>
      </c>
      <c r="C139" s="7" t="s">
        <v>383</v>
      </c>
      <c r="D139" s="7" t="s">
        <v>319</v>
      </c>
      <c r="E139" s="7" t="s">
        <v>370</v>
      </c>
      <c r="F139" s="44">
        <v>143.07</v>
      </c>
    </row>
    <row r="140" spans="1:6" ht="12.75" customHeight="1">
      <c r="A140" s="7" t="s">
        <v>315</v>
      </c>
      <c r="B140" s="3">
        <v>50430</v>
      </c>
      <c r="C140" s="7" t="s">
        <v>383</v>
      </c>
      <c r="D140" s="7" t="s">
        <v>319</v>
      </c>
      <c r="E140" s="7" t="s">
        <v>371</v>
      </c>
      <c r="F140" s="44">
        <v>83.82</v>
      </c>
    </row>
    <row r="141" spans="1:6" ht="12.75" customHeight="1">
      <c r="A141" s="7" t="s">
        <v>315</v>
      </c>
      <c r="B141" s="3">
        <v>50441</v>
      </c>
      <c r="C141" s="7" t="s">
        <v>383</v>
      </c>
      <c r="D141" s="7" t="s">
        <v>317</v>
      </c>
      <c r="E141" s="7" t="s">
        <v>364</v>
      </c>
      <c r="F141" s="44">
        <v>0</v>
      </c>
    </row>
    <row r="142" spans="1:6" ht="12.75" customHeight="1">
      <c r="A142" s="7" t="s">
        <v>315</v>
      </c>
      <c r="B142" s="3">
        <v>50441</v>
      </c>
      <c r="C142" s="7" t="s">
        <v>383</v>
      </c>
      <c r="D142" s="7" t="s">
        <v>319</v>
      </c>
      <c r="E142" s="7" t="s">
        <v>378</v>
      </c>
      <c r="F142" s="44">
        <v>0</v>
      </c>
    </row>
    <row r="143" spans="1:6" ht="12.75" customHeight="1">
      <c r="A143" s="7" t="s">
        <v>315</v>
      </c>
      <c r="B143" s="3">
        <v>50441</v>
      </c>
      <c r="C143" s="7" t="s">
        <v>383</v>
      </c>
      <c r="D143" s="7" t="s">
        <v>319</v>
      </c>
      <c r="E143" s="7" t="s">
        <v>370</v>
      </c>
      <c r="F143" s="44">
        <v>1437.94</v>
      </c>
    </row>
    <row r="144" spans="1:6" ht="12.75" customHeight="1">
      <c r="A144" s="7" t="s">
        <v>315</v>
      </c>
      <c r="B144" s="3">
        <v>50441</v>
      </c>
      <c r="C144" s="7" t="s">
        <v>383</v>
      </c>
      <c r="D144" s="7" t="s">
        <v>319</v>
      </c>
      <c r="E144" s="7" t="s">
        <v>371</v>
      </c>
      <c r="F144" s="44">
        <v>1767.39</v>
      </c>
    </row>
    <row r="145" spans="1:6" ht="12.75" customHeight="1">
      <c r="A145" s="7" t="s">
        <v>315</v>
      </c>
      <c r="B145" s="3">
        <v>50442</v>
      </c>
      <c r="C145" s="7" t="s">
        <v>383</v>
      </c>
      <c r="D145" s="7" t="s">
        <v>317</v>
      </c>
      <c r="E145" s="7" t="s">
        <v>364</v>
      </c>
      <c r="F145" s="44">
        <v>0</v>
      </c>
    </row>
    <row r="146" spans="1:6" ht="12.75" customHeight="1">
      <c r="A146" s="7" t="s">
        <v>315</v>
      </c>
      <c r="B146" s="3">
        <v>50442</v>
      </c>
      <c r="C146" s="7" t="s">
        <v>383</v>
      </c>
      <c r="D146" s="7" t="s">
        <v>319</v>
      </c>
      <c r="E146" s="7" t="s">
        <v>378</v>
      </c>
      <c r="F146" s="44">
        <v>0</v>
      </c>
    </row>
    <row r="147" spans="1:6" ht="12.75" customHeight="1">
      <c r="A147" s="7" t="s">
        <v>315</v>
      </c>
      <c r="B147" s="3">
        <v>50442</v>
      </c>
      <c r="C147" s="7" t="s">
        <v>383</v>
      </c>
      <c r="D147" s="7" t="s">
        <v>319</v>
      </c>
      <c r="E147" s="7" t="s">
        <v>370</v>
      </c>
      <c r="F147" s="44">
        <v>714.18</v>
      </c>
    </row>
    <row r="148" spans="1:6" ht="12.75" customHeight="1">
      <c r="A148" s="7" t="s">
        <v>315</v>
      </c>
      <c r="B148" s="3">
        <v>50442</v>
      </c>
      <c r="C148" s="7" t="s">
        <v>383</v>
      </c>
      <c r="D148" s="7" t="s">
        <v>319</v>
      </c>
      <c r="E148" s="7" t="s">
        <v>371</v>
      </c>
      <c r="F148" s="44">
        <v>413.34</v>
      </c>
    </row>
    <row r="149" spans="1:6" ht="12.75" customHeight="1">
      <c r="A149" s="7" t="s">
        <v>315</v>
      </c>
      <c r="B149" s="3">
        <v>50471</v>
      </c>
      <c r="C149" s="7" t="s">
        <v>383</v>
      </c>
      <c r="D149" s="7" t="s">
        <v>317</v>
      </c>
      <c r="E149" s="7" t="s">
        <v>364</v>
      </c>
      <c r="F149" s="44">
        <v>0</v>
      </c>
    </row>
    <row r="150" spans="1:6" ht="12.75" customHeight="1">
      <c r="A150" s="7" t="s">
        <v>315</v>
      </c>
      <c r="B150" s="3">
        <v>50471</v>
      </c>
      <c r="C150" s="7" t="s">
        <v>383</v>
      </c>
      <c r="D150" s="7" t="s">
        <v>319</v>
      </c>
      <c r="E150" s="7" t="s">
        <v>378</v>
      </c>
      <c r="F150" s="44">
        <v>0</v>
      </c>
    </row>
    <row r="151" spans="1:6" ht="12.75" customHeight="1">
      <c r="A151" s="7" t="s">
        <v>315</v>
      </c>
      <c r="B151" s="3">
        <v>50471</v>
      </c>
      <c r="C151" s="7" t="s">
        <v>383</v>
      </c>
      <c r="D151" s="7" t="s">
        <v>319</v>
      </c>
      <c r="E151" s="7" t="s">
        <v>370</v>
      </c>
      <c r="F151" s="44">
        <v>9593.92</v>
      </c>
    </row>
    <row r="152" spans="1:6" ht="12.75" customHeight="1">
      <c r="A152" s="7" t="s">
        <v>315</v>
      </c>
      <c r="B152" s="3">
        <v>50471</v>
      </c>
      <c r="C152" s="7" t="s">
        <v>383</v>
      </c>
      <c r="D152" s="7" t="s">
        <v>319</v>
      </c>
      <c r="E152" s="7" t="s">
        <v>371</v>
      </c>
      <c r="F152" s="44">
        <v>11631.75</v>
      </c>
    </row>
    <row r="153" spans="1:6" ht="12.75" customHeight="1">
      <c r="A153" s="7" t="s">
        <v>315</v>
      </c>
      <c r="B153" s="3">
        <v>50473</v>
      </c>
      <c r="C153" s="7" t="s">
        <v>383</v>
      </c>
      <c r="D153" s="7" t="s">
        <v>317</v>
      </c>
      <c r="E153" s="7" t="s">
        <v>364</v>
      </c>
      <c r="F153" s="44">
        <v>0</v>
      </c>
    </row>
    <row r="154" spans="1:6" ht="12.75" customHeight="1">
      <c r="A154" s="7" t="s">
        <v>315</v>
      </c>
      <c r="B154" s="3">
        <v>50473</v>
      </c>
      <c r="C154" s="7" t="s">
        <v>383</v>
      </c>
      <c r="D154" s="7" t="s">
        <v>319</v>
      </c>
      <c r="E154" s="7" t="s">
        <v>370</v>
      </c>
      <c r="F154" s="44">
        <v>6549.76</v>
      </c>
    </row>
    <row r="155" spans="1:6" ht="12.75" customHeight="1">
      <c r="A155" s="7" t="s">
        <v>315</v>
      </c>
      <c r="B155" s="3">
        <v>50710</v>
      </c>
      <c r="C155" s="7" t="s">
        <v>383</v>
      </c>
      <c r="D155" s="7" t="s">
        <v>317</v>
      </c>
      <c r="E155" s="7" t="s">
        <v>364</v>
      </c>
      <c r="F155" s="44">
        <v>0</v>
      </c>
    </row>
    <row r="156" spans="1:6" ht="12.75" customHeight="1">
      <c r="A156" s="7" t="s">
        <v>315</v>
      </c>
      <c r="B156" s="3">
        <v>50710</v>
      </c>
      <c r="C156" s="7" t="s">
        <v>383</v>
      </c>
      <c r="D156" s="7" t="s">
        <v>317</v>
      </c>
      <c r="E156" s="7" t="s">
        <v>365</v>
      </c>
      <c r="F156" s="44">
        <v>635.5</v>
      </c>
    </row>
    <row r="157" spans="1:6" ht="12.75" customHeight="1">
      <c r="A157" s="7" t="s">
        <v>315</v>
      </c>
      <c r="B157" s="3">
        <v>50710</v>
      </c>
      <c r="C157" s="7" t="s">
        <v>383</v>
      </c>
      <c r="D157" s="7" t="s">
        <v>319</v>
      </c>
      <c r="E157" s="7" t="s">
        <v>370</v>
      </c>
      <c r="F157" s="44">
        <v>54</v>
      </c>
    </row>
    <row r="158" spans="1:6" ht="12.75" customHeight="1">
      <c r="A158" s="7" t="s">
        <v>315</v>
      </c>
      <c r="B158" s="3">
        <v>50780</v>
      </c>
      <c r="C158" s="7" t="s">
        <v>383</v>
      </c>
      <c r="D158" s="7" t="s">
        <v>317</v>
      </c>
      <c r="E158" s="7" t="s">
        <v>364</v>
      </c>
      <c r="F158" s="44">
        <v>0</v>
      </c>
    </row>
    <row r="159" spans="1:6" ht="12.75" customHeight="1">
      <c r="A159" s="7" t="s">
        <v>315</v>
      </c>
      <c r="B159" s="3">
        <v>50780</v>
      </c>
      <c r="C159" s="7" t="s">
        <v>383</v>
      </c>
      <c r="D159" s="7" t="s">
        <v>317</v>
      </c>
      <c r="E159" s="7" t="s">
        <v>365</v>
      </c>
      <c r="F159" s="44">
        <v>5</v>
      </c>
    </row>
    <row r="160" spans="1:6" ht="12.75" customHeight="1">
      <c r="A160" s="7" t="s">
        <v>315</v>
      </c>
      <c r="B160" s="3">
        <v>50800</v>
      </c>
      <c r="C160" s="7" t="s">
        <v>383</v>
      </c>
      <c r="D160" s="7" t="s">
        <v>317</v>
      </c>
      <c r="E160" s="7" t="s">
        <v>364</v>
      </c>
      <c r="F160" s="44">
        <v>1342.55</v>
      </c>
    </row>
    <row r="161" spans="1:6" ht="12.75" customHeight="1">
      <c r="A161" s="7" t="s">
        <v>315</v>
      </c>
      <c r="B161" s="3">
        <v>50800</v>
      </c>
      <c r="C161" s="7" t="s">
        <v>383</v>
      </c>
      <c r="D161" s="7" t="s">
        <v>317</v>
      </c>
      <c r="E161" s="7" t="s">
        <v>365</v>
      </c>
      <c r="F161" s="44">
        <v>7522.35</v>
      </c>
    </row>
    <row r="162" spans="1:6" ht="12.75" customHeight="1">
      <c r="A162" s="7" t="s">
        <v>315</v>
      </c>
      <c r="B162" s="3">
        <v>50800</v>
      </c>
      <c r="C162" s="7" t="s">
        <v>383</v>
      </c>
      <c r="D162" s="7" t="s">
        <v>319</v>
      </c>
      <c r="E162" s="7" t="s">
        <v>370</v>
      </c>
      <c r="F162" s="44">
        <v>654.5</v>
      </c>
    </row>
    <row r="163" spans="1:6" ht="12.75" customHeight="1">
      <c r="A163" s="7" t="s">
        <v>315</v>
      </c>
      <c r="B163" s="3">
        <v>50800</v>
      </c>
      <c r="C163" s="7" t="s">
        <v>383</v>
      </c>
      <c r="D163" s="7" t="s">
        <v>319</v>
      </c>
      <c r="E163" s="7" t="s">
        <v>371</v>
      </c>
      <c r="F163" s="44">
        <v>109.45</v>
      </c>
    </row>
    <row r="164" spans="1:6" ht="12.75" customHeight="1">
      <c r="A164" s="7" t="s">
        <v>315</v>
      </c>
      <c r="B164" s="3">
        <v>51290</v>
      </c>
      <c r="C164" s="7" t="s">
        <v>383</v>
      </c>
      <c r="D164" s="7" t="s">
        <v>317</v>
      </c>
      <c r="E164" s="7" t="s">
        <v>365</v>
      </c>
      <c r="F164" s="44">
        <v>4330</v>
      </c>
    </row>
    <row r="165" spans="1:6" ht="12.75" customHeight="1">
      <c r="A165" s="7" t="s">
        <v>315</v>
      </c>
      <c r="B165" s="3">
        <v>51570</v>
      </c>
      <c r="C165" s="7" t="s">
        <v>383</v>
      </c>
      <c r="D165" s="7" t="s">
        <v>317</v>
      </c>
      <c r="E165" s="7" t="s">
        <v>365</v>
      </c>
      <c r="F165" s="44">
        <v>538.75</v>
      </c>
    </row>
    <row r="166" spans="1:6" ht="12.75" customHeight="1">
      <c r="A166" s="7" t="s">
        <v>315</v>
      </c>
      <c r="B166" s="3">
        <v>54130</v>
      </c>
      <c r="C166" s="7" t="s">
        <v>383</v>
      </c>
      <c r="D166" s="7" t="s">
        <v>367</v>
      </c>
      <c r="E166" s="7" t="s">
        <v>368</v>
      </c>
      <c r="F166" s="44">
        <v>513.48</v>
      </c>
    </row>
    <row r="167" spans="1:6" ht="12.75" customHeight="1">
      <c r="A167" s="7" t="s">
        <v>315</v>
      </c>
      <c r="B167" s="3">
        <v>45020</v>
      </c>
      <c r="C167" s="7" t="s">
        <v>384</v>
      </c>
      <c r="D167" s="7" t="s">
        <v>319</v>
      </c>
      <c r="E167" s="7" t="s">
        <v>385</v>
      </c>
      <c r="F167" s="44">
        <v>-65</v>
      </c>
    </row>
    <row r="168" spans="1:6" ht="12.75" customHeight="1">
      <c r="A168" s="7" t="s">
        <v>315</v>
      </c>
      <c r="B168" s="3">
        <v>53755</v>
      </c>
      <c r="C168" s="7" t="s">
        <v>386</v>
      </c>
      <c r="D168" s="7" t="s">
        <v>317</v>
      </c>
      <c r="E168" s="7" t="s">
        <v>365</v>
      </c>
      <c r="F168" s="44">
        <v>863.91</v>
      </c>
    </row>
    <row r="169" spans="1:6" ht="12.75" customHeight="1">
      <c r="A169" s="7" t="s">
        <v>315</v>
      </c>
      <c r="B169" s="3">
        <v>53760</v>
      </c>
      <c r="C169" s="7" t="s">
        <v>386</v>
      </c>
      <c r="D169" s="7" t="s">
        <v>317</v>
      </c>
      <c r="E169" s="7" t="s">
        <v>365</v>
      </c>
      <c r="F169" s="44">
        <v>9117</v>
      </c>
    </row>
    <row r="170" spans="1:6" ht="12.75" customHeight="1">
      <c r="A170" s="7" t="s">
        <v>315</v>
      </c>
      <c r="B170" s="3">
        <v>51761</v>
      </c>
      <c r="C170" s="7" t="s">
        <v>387</v>
      </c>
      <c r="D170" s="7" t="s">
        <v>317</v>
      </c>
      <c r="E170" s="7" t="s">
        <v>365</v>
      </c>
      <c r="F170" s="44">
        <v>1288.6400000000001</v>
      </c>
    </row>
    <row r="171" spans="1:6" ht="12.75" customHeight="1">
      <c r="A171" s="7" t="s">
        <v>315</v>
      </c>
      <c r="B171" s="3">
        <v>53820</v>
      </c>
      <c r="C171" s="7" t="s">
        <v>387</v>
      </c>
      <c r="D171" s="7" t="s">
        <v>317</v>
      </c>
      <c r="E171" s="7" t="s">
        <v>365</v>
      </c>
      <c r="F171" s="44">
        <v>1960.27</v>
      </c>
    </row>
    <row r="172" spans="1:6" ht="12.75" customHeight="1">
      <c r="A172" s="7" t="s">
        <v>315</v>
      </c>
      <c r="B172" s="3">
        <v>53870</v>
      </c>
      <c r="C172" s="7" t="s">
        <v>387</v>
      </c>
      <c r="D172" s="7" t="s">
        <v>317</v>
      </c>
      <c r="E172" s="7" t="s">
        <v>365</v>
      </c>
      <c r="F172" s="44">
        <v>1245.67</v>
      </c>
    </row>
    <row r="173" spans="1:6" ht="12.75" customHeight="1">
      <c r="A173" s="7" t="s">
        <v>315</v>
      </c>
      <c r="B173" s="3">
        <v>43511</v>
      </c>
      <c r="C173" s="7" t="s">
        <v>388</v>
      </c>
      <c r="D173" s="7" t="s">
        <v>367</v>
      </c>
      <c r="E173" s="7" t="s">
        <v>380</v>
      </c>
      <c r="F173" s="44">
        <v>-2667</v>
      </c>
    </row>
    <row r="174" spans="1:6" ht="12.75" customHeight="1">
      <c r="A174" s="7" t="s">
        <v>315</v>
      </c>
      <c r="B174" s="3">
        <v>44092</v>
      </c>
      <c r="C174" s="7" t="s">
        <v>388</v>
      </c>
      <c r="D174" s="7" t="s">
        <v>367</v>
      </c>
      <c r="E174" s="7" t="s">
        <v>368</v>
      </c>
      <c r="F174" s="44">
        <v>-1800</v>
      </c>
    </row>
    <row r="175" spans="1:6" ht="12.75" customHeight="1">
      <c r="A175" s="7" t="s">
        <v>315</v>
      </c>
      <c r="B175" s="3">
        <v>50110</v>
      </c>
      <c r="C175" s="7" t="s">
        <v>388</v>
      </c>
      <c r="D175" s="7" t="s">
        <v>317</v>
      </c>
      <c r="E175" s="7" t="s">
        <v>364</v>
      </c>
      <c r="F175" s="44">
        <v>79961.460000000006</v>
      </c>
    </row>
    <row r="176" spans="1:6" ht="12.75" customHeight="1">
      <c r="A176" s="7" t="s">
        <v>315</v>
      </c>
      <c r="B176" s="3">
        <v>50150</v>
      </c>
      <c r="C176" s="7" t="s">
        <v>388</v>
      </c>
      <c r="D176" s="7" t="s">
        <v>317</v>
      </c>
      <c r="E176" s="7" t="s">
        <v>364</v>
      </c>
      <c r="F176" s="44">
        <v>13644.16</v>
      </c>
    </row>
    <row r="177" spans="1:6" ht="12.75" customHeight="1">
      <c r="A177" s="7" t="s">
        <v>315</v>
      </c>
      <c r="B177" s="3">
        <v>50170</v>
      </c>
      <c r="C177" s="7" t="s">
        <v>388</v>
      </c>
      <c r="D177" s="7" t="s">
        <v>317</v>
      </c>
      <c r="E177" s="7" t="s">
        <v>364</v>
      </c>
      <c r="F177" s="44">
        <v>458.5</v>
      </c>
    </row>
    <row r="178" spans="1:6" ht="12.75" customHeight="1">
      <c r="A178" s="7" t="s">
        <v>315</v>
      </c>
      <c r="B178" s="3">
        <v>50410</v>
      </c>
      <c r="C178" s="7" t="s">
        <v>388</v>
      </c>
      <c r="D178" s="7" t="s">
        <v>317</v>
      </c>
      <c r="E178" s="7" t="s">
        <v>364</v>
      </c>
      <c r="F178" s="44">
        <v>0</v>
      </c>
    </row>
    <row r="179" spans="1:6" ht="12.75" customHeight="1">
      <c r="A179" s="7" t="s">
        <v>315</v>
      </c>
      <c r="B179" s="3">
        <v>50420</v>
      </c>
      <c r="C179" s="7" t="s">
        <v>388</v>
      </c>
      <c r="D179" s="7" t="s">
        <v>317</v>
      </c>
      <c r="E179" s="7" t="s">
        <v>364</v>
      </c>
      <c r="F179" s="44">
        <v>0</v>
      </c>
    </row>
    <row r="180" spans="1:6" ht="12.75" customHeight="1">
      <c r="A180" s="7" t="s">
        <v>315</v>
      </c>
      <c r="B180" s="3">
        <v>50430</v>
      </c>
      <c r="C180" s="7" t="s">
        <v>388</v>
      </c>
      <c r="D180" s="7" t="s">
        <v>317</v>
      </c>
      <c r="E180" s="7" t="s">
        <v>364</v>
      </c>
      <c r="F180" s="44">
        <v>0</v>
      </c>
    </row>
    <row r="181" spans="1:6" ht="12.75" customHeight="1">
      <c r="A181" s="7" t="s">
        <v>315</v>
      </c>
      <c r="B181" s="3">
        <v>50441</v>
      </c>
      <c r="C181" s="7" t="s">
        <v>388</v>
      </c>
      <c r="D181" s="7" t="s">
        <v>317</v>
      </c>
      <c r="E181" s="7" t="s">
        <v>364</v>
      </c>
      <c r="F181" s="44">
        <v>0</v>
      </c>
    </row>
    <row r="182" spans="1:6" ht="12.75" customHeight="1">
      <c r="A182" s="7" t="s">
        <v>315</v>
      </c>
      <c r="B182" s="3">
        <v>50442</v>
      </c>
      <c r="C182" s="7" t="s">
        <v>388</v>
      </c>
      <c r="D182" s="7" t="s">
        <v>317</v>
      </c>
      <c r="E182" s="7" t="s">
        <v>364</v>
      </c>
      <c r="F182" s="44">
        <v>0</v>
      </c>
    </row>
    <row r="183" spans="1:6" ht="12.75" customHeight="1">
      <c r="A183" s="7" t="s">
        <v>315</v>
      </c>
      <c r="B183" s="3">
        <v>50471</v>
      </c>
      <c r="C183" s="7" t="s">
        <v>388</v>
      </c>
      <c r="D183" s="7" t="s">
        <v>317</v>
      </c>
      <c r="E183" s="7" t="s">
        <v>364</v>
      </c>
      <c r="F183" s="44">
        <v>0</v>
      </c>
    </row>
    <row r="184" spans="1:6" ht="12.75" customHeight="1">
      <c r="A184" s="7" t="s">
        <v>315</v>
      </c>
      <c r="B184" s="3">
        <v>50710</v>
      </c>
      <c r="C184" s="7" t="s">
        <v>388</v>
      </c>
      <c r="D184" s="7" t="s">
        <v>317</v>
      </c>
      <c r="E184" s="7" t="s">
        <v>364</v>
      </c>
      <c r="F184" s="44">
        <v>0</v>
      </c>
    </row>
    <row r="185" spans="1:6" ht="12.75" customHeight="1">
      <c r="A185" s="7" t="s">
        <v>315</v>
      </c>
      <c r="B185" s="3">
        <v>50710</v>
      </c>
      <c r="C185" s="7" t="s">
        <v>388</v>
      </c>
      <c r="D185" s="7" t="s">
        <v>317</v>
      </c>
      <c r="E185" s="7" t="s">
        <v>365</v>
      </c>
      <c r="F185" s="44">
        <v>135</v>
      </c>
    </row>
    <row r="186" spans="1:6" ht="12.75" customHeight="1">
      <c r="A186" s="7" t="s">
        <v>315</v>
      </c>
      <c r="B186" s="3">
        <v>50800</v>
      </c>
      <c r="C186" s="7" t="s">
        <v>388</v>
      </c>
      <c r="D186" s="7" t="s">
        <v>317</v>
      </c>
      <c r="E186" s="7" t="s">
        <v>364</v>
      </c>
      <c r="F186" s="44">
        <v>0</v>
      </c>
    </row>
    <row r="187" spans="1:6" ht="12.75" customHeight="1">
      <c r="A187" s="7" t="s">
        <v>315</v>
      </c>
      <c r="B187" s="3">
        <v>50800</v>
      </c>
      <c r="C187" s="7" t="s">
        <v>388</v>
      </c>
      <c r="D187" s="7" t="s">
        <v>317</v>
      </c>
      <c r="E187" s="7" t="s">
        <v>365</v>
      </c>
      <c r="F187" s="44">
        <v>157.30000000000001</v>
      </c>
    </row>
    <row r="188" spans="1:6" ht="12.75" customHeight="1">
      <c r="A188" s="7" t="s">
        <v>315</v>
      </c>
      <c r="B188" s="3">
        <v>52531</v>
      </c>
      <c r="C188" s="7" t="s">
        <v>388</v>
      </c>
      <c r="D188" s="7" t="s">
        <v>317</v>
      </c>
      <c r="E188" s="7" t="s">
        <v>365</v>
      </c>
      <c r="F188" s="44">
        <v>392</v>
      </c>
    </row>
    <row r="189" spans="1:6" ht="12.75" customHeight="1">
      <c r="A189" s="7" t="s">
        <v>315</v>
      </c>
      <c r="B189" s="3">
        <v>53035</v>
      </c>
      <c r="C189" s="7" t="s">
        <v>388</v>
      </c>
      <c r="D189" s="7" t="s">
        <v>317</v>
      </c>
      <c r="E189" s="7" t="s">
        <v>365</v>
      </c>
      <c r="F189" s="44">
        <v>587.6</v>
      </c>
    </row>
    <row r="190" spans="1:6" ht="12.75" customHeight="1">
      <c r="A190" s="7" t="s">
        <v>315</v>
      </c>
      <c r="B190" s="3">
        <v>53311</v>
      </c>
      <c r="C190" s="7" t="s">
        <v>388</v>
      </c>
      <c r="D190" s="7" t="s">
        <v>317</v>
      </c>
      <c r="E190" s="7" t="s">
        <v>365</v>
      </c>
      <c r="F190" s="44">
        <v>6232.26</v>
      </c>
    </row>
    <row r="191" spans="1:6" ht="12.75" customHeight="1">
      <c r="A191" s="7" t="s">
        <v>315</v>
      </c>
      <c r="B191" s="3">
        <v>53338</v>
      </c>
      <c r="C191" s="7" t="s">
        <v>388</v>
      </c>
      <c r="D191" s="7" t="s">
        <v>317</v>
      </c>
      <c r="E191" s="7" t="s">
        <v>365</v>
      </c>
      <c r="F191" s="44">
        <v>2609.29</v>
      </c>
    </row>
    <row r="192" spans="1:6" ht="12.75" customHeight="1">
      <c r="A192" s="7" t="s">
        <v>315</v>
      </c>
      <c r="B192" s="3">
        <v>53361</v>
      </c>
      <c r="C192" s="7" t="s">
        <v>388</v>
      </c>
      <c r="D192" s="7" t="s">
        <v>317</v>
      </c>
      <c r="E192" s="7" t="s">
        <v>365</v>
      </c>
      <c r="F192" s="44">
        <v>204</v>
      </c>
    </row>
    <row r="193" spans="1:6" ht="12.75" customHeight="1">
      <c r="A193" s="7" t="s">
        <v>315</v>
      </c>
      <c r="B193" s="3">
        <v>53390</v>
      </c>
      <c r="C193" s="7" t="s">
        <v>388</v>
      </c>
      <c r="D193" s="7" t="s">
        <v>317</v>
      </c>
      <c r="E193" s="7" t="s">
        <v>365</v>
      </c>
      <c r="F193" s="44">
        <v>765.71</v>
      </c>
    </row>
    <row r="194" spans="1:6" ht="12.75" customHeight="1">
      <c r="A194" s="7" t="s">
        <v>315</v>
      </c>
      <c r="B194" s="3">
        <v>53450</v>
      </c>
      <c r="C194" s="7" t="s">
        <v>388</v>
      </c>
      <c r="D194" s="7" t="s">
        <v>317</v>
      </c>
      <c r="E194" s="7" t="s">
        <v>365</v>
      </c>
      <c r="F194" s="44">
        <v>505.5</v>
      </c>
    </row>
    <row r="195" spans="1:6" ht="12.75" customHeight="1">
      <c r="A195" s="7" t="s">
        <v>315</v>
      </c>
      <c r="B195" s="3">
        <v>54060</v>
      </c>
      <c r="C195" s="7" t="s">
        <v>388</v>
      </c>
      <c r="D195" s="7" t="s">
        <v>317</v>
      </c>
      <c r="E195" s="7" t="s">
        <v>365</v>
      </c>
      <c r="F195" s="44">
        <v>10.119999999999999</v>
      </c>
    </row>
    <row r="196" spans="1:6" ht="12.75" customHeight="1">
      <c r="A196" s="7" t="s">
        <v>315</v>
      </c>
      <c r="B196" s="3">
        <v>54150</v>
      </c>
      <c r="C196" s="7" t="s">
        <v>388</v>
      </c>
      <c r="D196" s="7" t="s">
        <v>319</v>
      </c>
      <c r="E196" s="7" t="s">
        <v>389</v>
      </c>
      <c r="F196" s="44">
        <v>310.73</v>
      </c>
    </row>
    <row r="197" spans="1:6" ht="12.75" customHeight="1">
      <c r="A197" s="7" t="s">
        <v>315</v>
      </c>
      <c r="B197" s="3">
        <v>55710</v>
      </c>
      <c r="C197" s="7" t="s">
        <v>388</v>
      </c>
      <c r="D197" s="7" t="s">
        <v>319</v>
      </c>
      <c r="E197" s="7" t="s">
        <v>389</v>
      </c>
      <c r="F197" s="44">
        <v>5679.56</v>
      </c>
    </row>
    <row r="198" spans="1:6" ht="12.75" customHeight="1">
      <c r="A198" s="7" t="s">
        <v>315</v>
      </c>
      <c r="B198" s="3">
        <v>44410</v>
      </c>
      <c r="C198" s="7" t="s">
        <v>390</v>
      </c>
      <c r="D198" s="7" t="s">
        <v>317</v>
      </c>
      <c r="E198" s="7" t="s">
        <v>318</v>
      </c>
      <c r="F198" s="44">
        <v>-89365.87</v>
      </c>
    </row>
    <row r="199" spans="1:6" ht="12.75" customHeight="1">
      <c r="A199" s="7" t="s">
        <v>315</v>
      </c>
      <c r="B199" s="3">
        <v>47100</v>
      </c>
      <c r="C199" s="7" t="s">
        <v>390</v>
      </c>
      <c r="D199" s="7" t="s">
        <v>319</v>
      </c>
      <c r="E199" s="7" t="s">
        <v>391</v>
      </c>
      <c r="F199" s="44">
        <v>-93750</v>
      </c>
    </row>
    <row r="200" spans="1:6" ht="12.75" customHeight="1">
      <c r="A200" s="7" t="s">
        <v>315</v>
      </c>
      <c r="B200" s="3">
        <v>47200</v>
      </c>
      <c r="C200" s="7" t="s">
        <v>390</v>
      </c>
      <c r="D200" s="7" t="s">
        <v>319</v>
      </c>
      <c r="E200" s="7" t="s">
        <v>392</v>
      </c>
      <c r="F200" s="44">
        <v>-99043</v>
      </c>
    </row>
    <row r="201" spans="1:6" ht="12.75" customHeight="1">
      <c r="A201" s="7" t="s">
        <v>315</v>
      </c>
      <c r="B201" s="3">
        <v>55050</v>
      </c>
      <c r="C201" s="7" t="s">
        <v>390</v>
      </c>
      <c r="D201" s="7" t="s">
        <v>317</v>
      </c>
      <c r="E201" s="7" t="s">
        <v>393</v>
      </c>
      <c r="F201" s="44">
        <v>492991</v>
      </c>
    </row>
    <row r="202" spans="1:6" ht="12.75" customHeight="1">
      <c r="A202" s="7" t="s">
        <v>315</v>
      </c>
      <c r="B202" s="3">
        <v>55050</v>
      </c>
      <c r="C202" s="7" t="s">
        <v>390</v>
      </c>
      <c r="D202" s="7" t="s">
        <v>394</v>
      </c>
      <c r="E202" s="7" t="s">
        <v>395</v>
      </c>
      <c r="F202" s="44">
        <v>0</v>
      </c>
    </row>
    <row r="203" spans="1:6" ht="12.75" customHeight="1">
      <c r="A203" s="7" t="s">
        <v>315</v>
      </c>
      <c r="B203" s="3">
        <v>55050</v>
      </c>
      <c r="C203" s="7" t="s">
        <v>390</v>
      </c>
      <c r="D203" s="7" t="s">
        <v>394</v>
      </c>
      <c r="E203" s="7" t="s">
        <v>396</v>
      </c>
      <c r="F203" s="44">
        <v>-7928</v>
      </c>
    </row>
    <row r="204" spans="1:6" ht="12.75" customHeight="1">
      <c r="A204" s="7" t="s">
        <v>315</v>
      </c>
      <c r="B204" s="3">
        <v>55050</v>
      </c>
      <c r="C204" s="7" t="s">
        <v>390</v>
      </c>
      <c r="D204" s="7" t="s">
        <v>394</v>
      </c>
      <c r="E204" s="7" t="s">
        <v>397</v>
      </c>
      <c r="F204" s="44">
        <v>-119529.5</v>
      </c>
    </row>
    <row r="205" spans="1:6" ht="12.75" customHeight="1">
      <c r="A205" s="7" t="s">
        <v>315</v>
      </c>
      <c r="B205" s="3">
        <v>55050</v>
      </c>
      <c r="C205" s="7" t="s">
        <v>390</v>
      </c>
      <c r="D205" s="7" t="s">
        <v>319</v>
      </c>
      <c r="E205" s="7" t="s">
        <v>320</v>
      </c>
      <c r="F205" s="44">
        <v>75874.27</v>
      </c>
    </row>
    <row r="206" spans="1:6" ht="12.75" customHeight="1">
      <c r="A206" s="7" t="s">
        <v>315</v>
      </c>
      <c r="B206" s="3">
        <v>55050</v>
      </c>
      <c r="C206" s="7" t="s">
        <v>390</v>
      </c>
      <c r="D206" s="7" t="s">
        <v>319</v>
      </c>
      <c r="E206" s="7" t="s">
        <v>321</v>
      </c>
      <c r="F206" s="44">
        <v>3820107.98</v>
      </c>
    </row>
    <row r="207" spans="1:6" ht="12.75" customHeight="1">
      <c r="A207" s="7" t="s">
        <v>315</v>
      </c>
      <c r="B207" s="3">
        <v>55050</v>
      </c>
      <c r="C207" s="7" t="s">
        <v>390</v>
      </c>
      <c r="D207" s="7" t="s">
        <v>319</v>
      </c>
      <c r="E207" s="7" t="s">
        <v>322</v>
      </c>
      <c r="F207" s="44">
        <v>249118</v>
      </c>
    </row>
    <row r="208" spans="1:6" ht="12.75" customHeight="1">
      <c r="A208" s="7" t="s">
        <v>315</v>
      </c>
      <c r="B208" s="3">
        <v>55050</v>
      </c>
      <c r="C208" s="7" t="s">
        <v>390</v>
      </c>
      <c r="D208" s="7" t="s">
        <v>319</v>
      </c>
      <c r="E208" s="7" t="s">
        <v>323</v>
      </c>
      <c r="F208" s="44">
        <v>3090938.11</v>
      </c>
    </row>
    <row r="209" spans="1:6" ht="12.75" customHeight="1">
      <c r="A209" s="7" t="s">
        <v>315</v>
      </c>
      <c r="B209" s="3">
        <v>55050</v>
      </c>
      <c r="C209" s="7" t="s">
        <v>390</v>
      </c>
      <c r="D209" s="7" t="s">
        <v>319</v>
      </c>
      <c r="E209" s="7" t="s">
        <v>324</v>
      </c>
      <c r="F209" s="44">
        <v>1476</v>
      </c>
    </row>
    <row r="210" spans="1:6" ht="12.75" customHeight="1">
      <c r="A210" s="7" t="s">
        <v>315</v>
      </c>
      <c r="B210" s="3">
        <v>55050</v>
      </c>
      <c r="C210" s="7" t="s">
        <v>390</v>
      </c>
      <c r="D210" s="7" t="s">
        <v>319</v>
      </c>
      <c r="E210" s="7" t="s">
        <v>326</v>
      </c>
      <c r="F210" s="44">
        <v>769990</v>
      </c>
    </row>
    <row r="211" spans="1:6" ht="12.75" customHeight="1">
      <c r="A211" s="7" t="s">
        <v>315</v>
      </c>
      <c r="B211" s="3">
        <v>55050</v>
      </c>
      <c r="C211" s="7" t="s">
        <v>390</v>
      </c>
      <c r="D211" s="7" t="s">
        <v>319</v>
      </c>
      <c r="E211" s="7" t="s">
        <v>327</v>
      </c>
      <c r="F211" s="44">
        <v>129999.43</v>
      </c>
    </row>
    <row r="212" spans="1:6" ht="12.75" customHeight="1">
      <c r="A212" s="7" t="s">
        <v>315</v>
      </c>
      <c r="B212" s="3">
        <v>55050</v>
      </c>
      <c r="C212" s="7" t="s">
        <v>390</v>
      </c>
      <c r="D212" s="7" t="s">
        <v>319</v>
      </c>
      <c r="E212" s="7" t="s">
        <v>328</v>
      </c>
      <c r="F212" s="44">
        <v>15935</v>
      </c>
    </row>
    <row r="213" spans="1:6" ht="12.75" customHeight="1">
      <c r="A213" s="7" t="s">
        <v>315</v>
      </c>
      <c r="B213" s="3">
        <v>55050</v>
      </c>
      <c r="C213" s="7" t="s">
        <v>390</v>
      </c>
      <c r="D213" s="7" t="s">
        <v>319</v>
      </c>
      <c r="E213" s="7" t="s">
        <v>330</v>
      </c>
      <c r="F213" s="44">
        <v>13710722.439999999</v>
      </c>
    </row>
    <row r="214" spans="1:6" ht="12.75" customHeight="1">
      <c r="A214" s="7" t="s">
        <v>315</v>
      </c>
      <c r="B214" s="3">
        <v>55050</v>
      </c>
      <c r="C214" s="7" t="s">
        <v>390</v>
      </c>
      <c r="D214" s="7" t="s">
        <v>319</v>
      </c>
      <c r="E214" s="7" t="s">
        <v>331</v>
      </c>
      <c r="F214" s="44">
        <v>18120074.239999998</v>
      </c>
    </row>
    <row r="215" spans="1:6" ht="12.75" customHeight="1">
      <c r="A215" s="7" t="s">
        <v>315</v>
      </c>
      <c r="B215" s="3">
        <v>55050</v>
      </c>
      <c r="C215" s="7" t="s">
        <v>390</v>
      </c>
      <c r="D215" s="7" t="s">
        <v>319</v>
      </c>
      <c r="E215" s="7" t="s">
        <v>333</v>
      </c>
      <c r="F215" s="44">
        <v>56002</v>
      </c>
    </row>
    <row r="216" spans="1:6" ht="12.75" customHeight="1">
      <c r="A216" s="7" t="s">
        <v>315</v>
      </c>
      <c r="B216" s="3">
        <v>55050</v>
      </c>
      <c r="C216" s="7" t="s">
        <v>390</v>
      </c>
      <c r="D216" s="7" t="s">
        <v>319</v>
      </c>
      <c r="E216" s="7" t="s">
        <v>334</v>
      </c>
      <c r="F216" s="44">
        <v>670611.44999999995</v>
      </c>
    </row>
    <row r="217" spans="1:6" ht="12.75" customHeight="1">
      <c r="A217" s="7" t="s">
        <v>315</v>
      </c>
      <c r="B217" s="3">
        <v>55050</v>
      </c>
      <c r="C217" s="7" t="s">
        <v>390</v>
      </c>
      <c r="D217" s="7" t="s">
        <v>319</v>
      </c>
      <c r="E217" s="7" t="s">
        <v>336</v>
      </c>
      <c r="F217" s="44">
        <v>40506</v>
      </c>
    </row>
    <row r="218" spans="1:6" ht="12.75" customHeight="1">
      <c r="A218" s="7" t="s">
        <v>315</v>
      </c>
      <c r="B218" s="3">
        <v>55050</v>
      </c>
      <c r="C218" s="7" t="s">
        <v>390</v>
      </c>
      <c r="D218" s="7" t="s">
        <v>319</v>
      </c>
      <c r="E218" s="7" t="s">
        <v>337</v>
      </c>
      <c r="F218" s="44">
        <v>700531.67</v>
      </c>
    </row>
    <row r="219" spans="1:6" ht="12.75" customHeight="1">
      <c r="A219" s="7" t="s">
        <v>315</v>
      </c>
      <c r="B219" s="3">
        <v>55050</v>
      </c>
      <c r="C219" s="7" t="s">
        <v>390</v>
      </c>
      <c r="D219" s="7" t="s">
        <v>319</v>
      </c>
      <c r="E219" s="7" t="s">
        <v>339</v>
      </c>
      <c r="F219" s="44">
        <v>430277.81</v>
      </c>
    </row>
    <row r="220" spans="1:6" ht="12.75" customHeight="1">
      <c r="A220" s="7" t="s">
        <v>315</v>
      </c>
      <c r="B220" s="3">
        <v>55050</v>
      </c>
      <c r="C220" s="7" t="s">
        <v>390</v>
      </c>
      <c r="D220" s="7" t="s">
        <v>319</v>
      </c>
      <c r="E220" s="7" t="s">
        <v>341</v>
      </c>
      <c r="F220" s="44">
        <v>748128.93</v>
      </c>
    </row>
    <row r="221" spans="1:6" ht="12.75" customHeight="1">
      <c r="A221" s="7" t="s">
        <v>315</v>
      </c>
      <c r="B221" s="3">
        <v>55050</v>
      </c>
      <c r="C221" s="7" t="s">
        <v>390</v>
      </c>
      <c r="D221" s="7" t="s">
        <v>319</v>
      </c>
      <c r="E221" s="7" t="s">
        <v>342</v>
      </c>
      <c r="F221" s="44">
        <v>2929719.53</v>
      </c>
    </row>
    <row r="222" spans="1:6" ht="12.75" customHeight="1">
      <c r="A222" s="7" t="s">
        <v>315</v>
      </c>
      <c r="B222" s="3">
        <v>55050</v>
      </c>
      <c r="C222" s="7" t="s">
        <v>390</v>
      </c>
      <c r="D222" s="7" t="s">
        <v>319</v>
      </c>
      <c r="E222" s="7" t="s">
        <v>343</v>
      </c>
      <c r="F222" s="44">
        <v>1315625</v>
      </c>
    </row>
    <row r="223" spans="1:6" ht="12.75" customHeight="1">
      <c r="A223" s="7" t="s">
        <v>315</v>
      </c>
      <c r="B223" s="3">
        <v>55050</v>
      </c>
      <c r="C223" s="7" t="s">
        <v>390</v>
      </c>
      <c r="D223" s="7" t="s">
        <v>319</v>
      </c>
      <c r="E223" s="7" t="s">
        <v>344</v>
      </c>
      <c r="F223" s="44">
        <v>907809.29</v>
      </c>
    </row>
    <row r="224" spans="1:6" ht="12.75" customHeight="1">
      <c r="A224" s="7" t="s">
        <v>315</v>
      </c>
      <c r="B224" s="3">
        <v>55050</v>
      </c>
      <c r="C224" s="7" t="s">
        <v>390</v>
      </c>
      <c r="D224" s="7" t="s">
        <v>319</v>
      </c>
      <c r="E224" s="7" t="s">
        <v>345</v>
      </c>
      <c r="F224" s="44">
        <v>60000</v>
      </c>
    </row>
    <row r="225" spans="1:6" ht="12.75" customHeight="1">
      <c r="A225" s="7" t="s">
        <v>315</v>
      </c>
      <c r="B225" s="3">
        <v>55050</v>
      </c>
      <c r="C225" s="7" t="s">
        <v>390</v>
      </c>
      <c r="D225" s="7" t="s">
        <v>319</v>
      </c>
      <c r="E225" s="7" t="s">
        <v>346</v>
      </c>
      <c r="F225" s="44">
        <v>348688.5</v>
      </c>
    </row>
    <row r="226" spans="1:6" ht="12.75" customHeight="1">
      <c r="A226" s="7" t="s">
        <v>315</v>
      </c>
      <c r="B226" s="3">
        <v>55050</v>
      </c>
      <c r="C226" s="7" t="s">
        <v>390</v>
      </c>
      <c r="D226" s="7" t="s">
        <v>319</v>
      </c>
      <c r="E226" s="7" t="s">
        <v>347</v>
      </c>
      <c r="F226" s="44">
        <v>12000</v>
      </c>
    </row>
    <row r="227" spans="1:6" ht="12.75" customHeight="1">
      <c r="A227" s="7" t="s">
        <v>315</v>
      </c>
      <c r="B227" s="3">
        <v>55050</v>
      </c>
      <c r="C227" s="7" t="s">
        <v>390</v>
      </c>
      <c r="D227" s="7" t="s">
        <v>319</v>
      </c>
      <c r="E227" s="7" t="s">
        <v>348</v>
      </c>
      <c r="F227" s="44">
        <v>2056.9299999999998</v>
      </c>
    </row>
    <row r="228" spans="1:6" ht="12.75" customHeight="1">
      <c r="A228" s="7" t="s">
        <v>315</v>
      </c>
      <c r="B228" s="3">
        <v>55050</v>
      </c>
      <c r="C228" s="7" t="s">
        <v>390</v>
      </c>
      <c r="D228" s="7" t="s">
        <v>319</v>
      </c>
      <c r="E228" s="7" t="s">
        <v>350</v>
      </c>
      <c r="F228" s="44">
        <v>24581690.120000001</v>
      </c>
    </row>
    <row r="229" spans="1:6" ht="12.75" customHeight="1">
      <c r="A229" s="7" t="s">
        <v>315</v>
      </c>
      <c r="B229" s="3">
        <v>55050</v>
      </c>
      <c r="C229" s="7" t="s">
        <v>390</v>
      </c>
      <c r="D229" s="7" t="s">
        <v>319</v>
      </c>
      <c r="E229" s="7" t="s">
        <v>351</v>
      </c>
      <c r="F229" s="44">
        <v>876252.88</v>
      </c>
    </row>
    <row r="230" spans="1:6" ht="12.75" customHeight="1">
      <c r="A230" s="7" t="s">
        <v>315</v>
      </c>
      <c r="B230" s="3">
        <v>55050</v>
      </c>
      <c r="C230" s="7" t="s">
        <v>390</v>
      </c>
      <c r="D230" s="7" t="s">
        <v>319</v>
      </c>
      <c r="E230" s="7" t="s">
        <v>352</v>
      </c>
      <c r="F230" s="44">
        <v>16370</v>
      </c>
    </row>
    <row r="231" spans="1:6" ht="12.75" customHeight="1">
      <c r="A231" s="7" t="s">
        <v>315</v>
      </c>
      <c r="B231" s="3">
        <v>55050</v>
      </c>
      <c r="C231" s="7" t="s">
        <v>390</v>
      </c>
      <c r="D231" s="7" t="s">
        <v>319</v>
      </c>
      <c r="E231" s="7" t="s">
        <v>353</v>
      </c>
      <c r="F231" s="44">
        <v>364202</v>
      </c>
    </row>
    <row r="232" spans="1:6" ht="12.75" customHeight="1">
      <c r="A232" s="7" t="s">
        <v>315</v>
      </c>
      <c r="B232" s="3">
        <v>55050</v>
      </c>
      <c r="C232" s="7" t="s">
        <v>390</v>
      </c>
      <c r="D232" s="7" t="s">
        <v>319</v>
      </c>
      <c r="E232" s="7" t="s">
        <v>391</v>
      </c>
      <c r="F232" s="44">
        <v>31250</v>
      </c>
    </row>
    <row r="233" spans="1:6" ht="12.75" customHeight="1">
      <c r="A233" s="7" t="s">
        <v>315</v>
      </c>
      <c r="B233" s="3">
        <v>55050</v>
      </c>
      <c r="C233" s="7" t="s">
        <v>390</v>
      </c>
      <c r="D233" s="7" t="s">
        <v>319</v>
      </c>
      <c r="E233" s="7" t="s">
        <v>354</v>
      </c>
      <c r="F233" s="44">
        <v>31000</v>
      </c>
    </row>
    <row r="234" spans="1:6" ht="12.75" customHeight="1">
      <c r="A234" s="7" t="s">
        <v>315</v>
      </c>
      <c r="B234" s="3">
        <v>55050</v>
      </c>
      <c r="C234" s="7" t="s">
        <v>390</v>
      </c>
      <c r="D234" s="7" t="s">
        <v>319</v>
      </c>
      <c r="E234" s="7" t="s">
        <v>355</v>
      </c>
      <c r="F234" s="44">
        <v>21294.05</v>
      </c>
    </row>
    <row r="235" spans="1:6" ht="12.75" customHeight="1">
      <c r="A235" s="7" t="s">
        <v>315</v>
      </c>
      <c r="B235" s="3">
        <v>55050</v>
      </c>
      <c r="C235" s="7" t="s">
        <v>390</v>
      </c>
      <c r="D235" s="7" t="s">
        <v>319</v>
      </c>
      <c r="E235" s="7" t="s">
        <v>357</v>
      </c>
      <c r="F235" s="44">
        <v>277223</v>
      </c>
    </row>
    <row r="236" spans="1:6" ht="12.75" customHeight="1">
      <c r="A236" s="7" t="s">
        <v>315</v>
      </c>
      <c r="B236" s="3">
        <v>55050</v>
      </c>
      <c r="C236" s="7" t="s">
        <v>390</v>
      </c>
      <c r="D236" s="7" t="s">
        <v>319</v>
      </c>
      <c r="E236" s="7" t="s">
        <v>358</v>
      </c>
      <c r="F236" s="44">
        <v>383694</v>
      </c>
    </row>
    <row r="237" spans="1:6" ht="12.75" customHeight="1">
      <c r="A237" s="7" t="s">
        <v>315</v>
      </c>
      <c r="B237" s="3">
        <v>55050</v>
      </c>
      <c r="C237" s="7" t="s">
        <v>390</v>
      </c>
      <c r="D237" s="7" t="s">
        <v>319</v>
      </c>
      <c r="E237" s="7" t="s">
        <v>398</v>
      </c>
      <c r="F237" s="44">
        <v>30000</v>
      </c>
    </row>
    <row r="238" spans="1:6" ht="12.75" customHeight="1">
      <c r="A238" s="7" t="s">
        <v>315</v>
      </c>
      <c r="B238" s="3">
        <v>55050</v>
      </c>
      <c r="C238" s="7" t="s">
        <v>390</v>
      </c>
      <c r="D238" s="7" t="s">
        <v>319</v>
      </c>
      <c r="E238" s="7" t="s">
        <v>359</v>
      </c>
      <c r="F238" s="44">
        <v>3565509</v>
      </c>
    </row>
    <row r="239" spans="1:6" ht="12.75" customHeight="1">
      <c r="A239" s="7" t="s">
        <v>315</v>
      </c>
      <c r="B239" s="3">
        <v>55050</v>
      </c>
      <c r="C239" s="7" t="s">
        <v>390</v>
      </c>
      <c r="D239" s="7" t="s">
        <v>319</v>
      </c>
      <c r="E239" s="7" t="s">
        <v>360</v>
      </c>
      <c r="F239" s="44">
        <v>13133270</v>
      </c>
    </row>
    <row r="240" spans="1:6" ht="12.75" customHeight="1">
      <c r="A240" s="7" t="s">
        <v>315</v>
      </c>
      <c r="B240" s="3">
        <v>55050</v>
      </c>
      <c r="C240" s="7" t="s">
        <v>390</v>
      </c>
      <c r="D240" s="7" t="s">
        <v>319</v>
      </c>
      <c r="E240" s="7" t="s">
        <v>361</v>
      </c>
      <c r="F240" s="44">
        <v>490938</v>
      </c>
    </row>
    <row r="241" spans="1:6" ht="12.75" customHeight="1">
      <c r="A241" s="7" t="s">
        <v>315</v>
      </c>
      <c r="B241" s="3">
        <v>55050</v>
      </c>
      <c r="C241" s="7" t="s">
        <v>390</v>
      </c>
      <c r="D241" s="7" t="s">
        <v>319</v>
      </c>
      <c r="E241" s="7" t="s">
        <v>362</v>
      </c>
      <c r="F241" s="44">
        <v>460463</v>
      </c>
    </row>
    <row r="242" spans="1:6" ht="12.75" customHeight="1">
      <c r="A242" s="7" t="s">
        <v>315</v>
      </c>
      <c r="B242" s="3">
        <v>55050</v>
      </c>
      <c r="C242" s="7" t="s">
        <v>390</v>
      </c>
      <c r="D242" s="7" t="s">
        <v>319</v>
      </c>
      <c r="E242" s="7" t="s">
        <v>363</v>
      </c>
      <c r="F242" s="44">
        <v>29949</v>
      </c>
    </row>
    <row r="243" spans="1:6" ht="12.75" customHeight="1">
      <c r="A243" s="7" t="s">
        <v>315</v>
      </c>
      <c r="B243" s="3">
        <v>55050</v>
      </c>
      <c r="C243" s="7" t="s">
        <v>390</v>
      </c>
      <c r="D243" s="7" t="s">
        <v>319</v>
      </c>
      <c r="E243" s="7" t="s">
        <v>399</v>
      </c>
      <c r="F243" s="44">
        <v>13100</v>
      </c>
    </row>
    <row r="244" spans="1:6" ht="12.75" customHeight="1">
      <c r="A244" s="7" t="s">
        <v>315</v>
      </c>
      <c r="B244" s="3">
        <v>55050</v>
      </c>
      <c r="C244" s="7" t="s">
        <v>390</v>
      </c>
      <c r="D244" s="7" t="s">
        <v>400</v>
      </c>
      <c r="E244" s="7" t="s">
        <v>401</v>
      </c>
      <c r="F244" s="44">
        <v>4449421.9800000004</v>
      </c>
    </row>
    <row r="245" spans="1:6" ht="12.75" customHeight="1">
      <c r="A245" s="7" t="s">
        <v>315</v>
      </c>
      <c r="B245" s="3">
        <v>55050</v>
      </c>
      <c r="C245" s="7" t="s">
        <v>390</v>
      </c>
      <c r="D245" s="7" t="s">
        <v>402</v>
      </c>
      <c r="E245" s="7" t="s">
        <v>403</v>
      </c>
      <c r="F245" s="44">
        <v>130259455.84999999</v>
      </c>
    </row>
    <row r="246" spans="1:6" ht="12.75" customHeight="1">
      <c r="A246" s="7" t="s">
        <v>315</v>
      </c>
      <c r="B246" s="3">
        <v>55070</v>
      </c>
      <c r="C246" s="7" t="s">
        <v>390</v>
      </c>
      <c r="D246" s="7" t="s">
        <v>317</v>
      </c>
      <c r="E246" s="7" t="s">
        <v>404</v>
      </c>
      <c r="F246" s="44">
        <v>3870004</v>
      </c>
    </row>
    <row r="247" spans="1:6" ht="12.75" customHeight="1">
      <c r="A247" s="7" t="s">
        <v>315</v>
      </c>
      <c r="B247" s="3">
        <v>55070</v>
      </c>
      <c r="C247" s="7" t="s">
        <v>390</v>
      </c>
      <c r="D247" s="7" t="s">
        <v>317</v>
      </c>
      <c r="E247" s="7" t="s">
        <v>405</v>
      </c>
      <c r="F247" s="44">
        <v>490000</v>
      </c>
    </row>
    <row r="248" spans="1:6" ht="12.75" customHeight="1">
      <c r="A248" s="7" t="s">
        <v>315</v>
      </c>
      <c r="B248" s="3">
        <v>55070</v>
      </c>
      <c r="C248" s="7" t="s">
        <v>390</v>
      </c>
      <c r="D248" s="7" t="s">
        <v>317</v>
      </c>
      <c r="E248" s="7" t="s">
        <v>406</v>
      </c>
      <c r="F248" s="44">
        <v>249999</v>
      </c>
    </row>
    <row r="249" spans="1:6" ht="12.75" customHeight="1">
      <c r="A249" s="7" t="s">
        <v>315</v>
      </c>
      <c r="B249" s="3">
        <v>55070</v>
      </c>
      <c r="C249" s="7" t="s">
        <v>390</v>
      </c>
      <c r="D249" s="7" t="s">
        <v>317</v>
      </c>
      <c r="E249" s="7" t="s">
        <v>407</v>
      </c>
      <c r="F249" s="44">
        <v>22511868</v>
      </c>
    </row>
    <row r="250" spans="1:6" ht="12.75" customHeight="1">
      <c r="A250" s="7" t="s">
        <v>315</v>
      </c>
      <c r="B250" s="3">
        <v>55070</v>
      </c>
      <c r="C250" s="7" t="s">
        <v>390</v>
      </c>
      <c r="D250" s="7" t="s">
        <v>317</v>
      </c>
      <c r="E250" s="7" t="s">
        <v>408</v>
      </c>
      <c r="F250" s="44">
        <v>224662</v>
      </c>
    </row>
    <row r="251" spans="1:6" ht="12.75" customHeight="1">
      <c r="A251" s="7" t="s">
        <v>315</v>
      </c>
      <c r="B251" s="3">
        <v>55070</v>
      </c>
      <c r="C251" s="7" t="s">
        <v>390</v>
      </c>
      <c r="D251" s="7" t="s">
        <v>317</v>
      </c>
      <c r="E251" s="7" t="s">
        <v>409</v>
      </c>
      <c r="F251" s="44">
        <v>10348671</v>
      </c>
    </row>
    <row r="252" spans="1:6" ht="12.75" customHeight="1">
      <c r="A252" s="7" t="s">
        <v>315</v>
      </c>
      <c r="B252" s="3">
        <v>55070</v>
      </c>
      <c r="C252" s="7" t="s">
        <v>390</v>
      </c>
      <c r="D252" s="7" t="s">
        <v>317</v>
      </c>
      <c r="E252" s="7" t="s">
        <v>410</v>
      </c>
      <c r="F252" s="44">
        <v>14762142</v>
      </c>
    </row>
    <row r="253" spans="1:6" ht="12.75" customHeight="1">
      <c r="A253" s="7" t="s">
        <v>315</v>
      </c>
      <c r="B253" s="3">
        <v>55070</v>
      </c>
      <c r="C253" s="7" t="s">
        <v>390</v>
      </c>
      <c r="D253" s="7" t="s">
        <v>317</v>
      </c>
      <c r="E253" s="7" t="s">
        <v>411</v>
      </c>
      <c r="F253" s="44">
        <v>3292553</v>
      </c>
    </row>
    <row r="254" spans="1:6" ht="12.75" customHeight="1">
      <c r="A254" s="7" t="s">
        <v>315</v>
      </c>
      <c r="B254" s="3">
        <v>55070</v>
      </c>
      <c r="C254" s="7" t="s">
        <v>390</v>
      </c>
      <c r="D254" s="7" t="s">
        <v>317</v>
      </c>
      <c r="E254" s="7" t="s">
        <v>412</v>
      </c>
      <c r="F254" s="44">
        <v>76412</v>
      </c>
    </row>
    <row r="255" spans="1:6" ht="12.75" customHeight="1">
      <c r="A255" s="7" t="s">
        <v>315</v>
      </c>
      <c r="B255" s="3">
        <v>55070</v>
      </c>
      <c r="C255" s="7" t="s">
        <v>390</v>
      </c>
      <c r="D255" s="7" t="s">
        <v>317</v>
      </c>
      <c r="E255" s="7" t="s">
        <v>413</v>
      </c>
      <c r="F255" s="44">
        <v>56604524</v>
      </c>
    </row>
    <row r="256" spans="1:6" ht="12.75" customHeight="1">
      <c r="A256" s="7" t="s">
        <v>315</v>
      </c>
      <c r="B256" s="3">
        <v>55070</v>
      </c>
      <c r="C256" s="7" t="s">
        <v>390</v>
      </c>
      <c r="D256" s="7" t="s">
        <v>319</v>
      </c>
      <c r="E256" s="7" t="s">
        <v>350</v>
      </c>
      <c r="F256" s="44">
        <v>125428</v>
      </c>
    </row>
    <row r="257" spans="1:6" ht="12.75" customHeight="1">
      <c r="A257" s="7" t="s">
        <v>315</v>
      </c>
      <c r="B257" s="3">
        <v>55080</v>
      </c>
      <c r="C257" s="7" t="s">
        <v>390</v>
      </c>
      <c r="D257" s="7" t="s">
        <v>317</v>
      </c>
      <c r="E257" s="7" t="s">
        <v>414</v>
      </c>
      <c r="F257" s="44">
        <v>646510</v>
      </c>
    </row>
    <row r="258" spans="1:6" ht="12.75" customHeight="1">
      <c r="A258" s="7" t="s">
        <v>315</v>
      </c>
      <c r="B258" s="3">
        <v>55080</v>
      </c>
      <c r="C258" s="7" t="s">
        <v>390</v>
      </c>
      <c r="D258" s="7" t="s">
        <v>317</v>
      </c>
      <c r="E258" s="7" t="s">
        <v>411</v>
      </c>
      <c r="F258" s="44">
        <v>146836</v>
      </c>
    </row>
    <row r="259" spans="1:6" ht="12.75" customHeight="1">
      <c r="A259" s="7" t="s">
        <v>315</v>
      </c>
      <c r="B259" s="3">
        <v>55110</v>
      </c>
      <c r="C259" s="7" t="s">
        <v>390</v>
      </c>
      <c r="D259" s="7" t="s">
        <v>319</v>
      </c>
      <c r="E259" s="7" t="s">
        <v>321</v>
      </c>
      <c r="F259" s="44">
        <v>177668.96</v>
      </c>
    </row>
    <row r="260" spans="1:6" ht="12.75" customHeight="1">
      <c r="A260" s="7" t="s">
        <v>315</v>
      </c>
      <c r="B260" s="3">
        <v>55110</v>
      </c>
      <c r="C260" s="7" t="s">
        <v>390</v>
      </c>
      <c r="D260" s="7" t="s">
        <v>319</v>
      </c>
      <c r="E260" s="7" t="s">
        <v>323</v>
      </c>
      <c r="F260" s="44">
        <v>8181.29</v>
      </c>
    </row>
    <row r="261" spans="1:6" ht="12.75" customHeight="1">
      <c r="A261" s="7" t="s">
        <v>315</v>
      </c>
      <c r="B261" s="3">
        <v>55110</v>
      </c>
      <c r="C261" s="7" t="s">
        <v>390</v>
      </c>
      <c r="D261" s="7" t="s">
        <v>319</v>
      </c>
      <c r="E261" s="7" t="s">
        <v>326</v>
      </c>
      <c r="F261" s="44">
        <v>9836</v>
      </c>
    </row>
    <row r="262" spans="1:6" ht="12.75" customHeight="1">
      <c r="A262" s="7" t="s">
        <v>315</v>
      </c>
      <c r="B262" s="3">
        <v>55110</v>
      </c>
      <c r="C262" s="7" t="s">
        <v>390</v>
      </c>
      <c r="D262" s="7" t="s">
        <v>319</v>
      </c>
      <c r="E262" s="7" t="s">
        <v>327</v>
      </c>
      <c r="F262" s="44">
        <v>604.91</v>
      </c>
    </row>
    <row r="263" spans="1:6" ht="12.75" customHeight="1">
      <c r="A263" s="7" t="s">
        <v>315</v>
      </c>
      <c r="B263" s="3">
        <v>55110</v>
      </c>
      <c r="C263" s="7" t="s">
        <v>390</v>
      </c>
      <c r="D263" s="7" t="s">
        <v>319</v>
      </c>
      <c r="E263" s="7" t="s">
        <v>330</v>
      </c>
      <c r="F263" s="44">
        <v>490497.67</v>
      </c>
    </row>
    <row r="264" spans="1:6" ht="12.75" customHeight="1">
      <c r="A264" s="7" t="s">
        <v>315</v>
      </c>
      <c r="B264" s="3">
        <v>55110</v>
      </c>
      <c r="C264" s="7" t="s">
        <v>390</v>
      </c>
      <c r="D264" s="7" t="s">
        <v>319</v>
      </c>
      <c r="E264" s="7" t="s">
        <v>332</v>
      </c>
      <c r="F264" s="44">
        <v>250000</v>
      </c>
    </row>
    <row r="265" spans="1:6" ht="12.75" customHeight="1">
      <c r="A265" s="7" t="s">
        <v>315</v>
      </c>
      <c r="B265" s="3">
        <v>55110</v>
      </c>
      <c r="C265" s="7" t="s">
        <v>390</v>
      </c>
      <c r="D265" s="7" t="s">
        <v>319</v>
      </c>
      <c r="E265" s="7" t="s">
        <v>334</v>
      </c>
      <c r="F265" s="44">
        <v>52957.23</v>
      </c>
    </row>
    <row r="266" spans="1:6" ht="12.75" customHeight="1">
      <c r="A266" s="7" t="s">
        <v>315</v>
      </c>
      <c r="B266" s="3">
        <v>55110</v>
      </c>
      <c r="C266" s="7" t="s">
        <v>390</v>
      </c>
      <c r="D266" s="7" t="s">
        <v>319</v>
      </c>
      <c r="E266" s="7" t="s">
        <v>337</v>
      </c>
      <c r="F266" s="44">
        <v>256549.63</v>
      </c>
    </row>
    <row r="267" spans="1:6" ht="12.75" customHeight="1">
      <c r="A267" s="7" t="s">
        <v>315</v>
      </c>
      <c r="B267" s="3">
        <v>55110</v>
      </c>
      <c r="C267" s="7" t="s">
        <v>390</v>
      </c>
      <c r="D267" s="7" t="s">
        <v>319</v>
      </c>
      <c r="E267" s="7" t="s">
        <v>342</v>
      </c>
      <c r="F267" s="44">
        <v>31541.599999999999</v>
      </c>
    </row>
    <row r="268" spans="1:6" ht="12.75" customHeight="1">
      <c r="A268" s="7" t="s">
        <v>315</v>
      </c>
      <c r="B268" s="3">
        <v>55110</v>
      </c>
      <c r="C268" s="7" t="s">
        <v>390</v>
      </c>
      <c r="D268" s="7" t="s">
        <v>319</v>
      </c>
      <c r="E268" s="7" t="s">
        <v>346</v>
      </c>
      <c r="F268" s="44">
        <v>-1.49</v>
      </c>
    </row>
    <row r="269" spans="1:6" ht="12.75" customHeight="1">
      <c r="A269" s="7" t="s">
        <v>315</v>
      </c>
      <c r="B269" s="3">
        <v>55110</v>
      </c>
      <c r="C269" s="7" t="s">
        <v>390</v>
      </c>
      <c r="D269" s="7" t="s">
        <v>319</v>
      </c>
      <c r="E269" s="7" t="s">
        <v>348</v>
      </c>
      <c r="F269" s="44">
        <v>-0.21</v>
      </c>
    </row>
    <row r="270" spans="1:6" ht="12.75" customHeight="1">
      <c r="A270" s="7" t="s">
        <v>315</v>
      </c>
      <c r="B270" s="3">
        <v>55110</v>
      </c>
      <c r="C270" s="7" t="s">
        <v>390</v>
      </c>
      <c r="D270" s="7" t="s">
        <v>319</v>
      </c>
      <c r="E270" s="7" t="s">
        <v>350</v>
      </c>
      <c r="F270" s="44">
        <v>2240366</v>
      </c>
    </row>
    <row r="271" spans="1:6" ht="12.75" customHeight="1">
      <c r="A271" s="7" t="s">
        <v>315</v>
      </c>
      <c r="B271" s="3">
        <v>55110</v>
      </c>
      <c r="C271" s="7" t="s">
        <v>390</v>
      </c>
      <c r="D271" s="7" t="s">
        <v>319</v>
      </c>
      <c r="E271" s="7" t="s">
        <v>353</v>
      </c>
      <c r="F271" s="44">
        <v>-7342.91</v>
      </c>
    </row>
    <row r="272" spans="1:6" ht="12.75" customHeight="1">
      <c r="A272" s="7" t="s">
        <v>315</v>
      </c>
      <c r="B272" s="3">
        <v>55110</v>
      </c>
      <c r="C272" s="7" t="s">
        <v>390</v>
      </c>
      <c r="D272" s="7" t="s">
        <v>319</v>
      </c>
      <c r="E272" s="7" t="s">
        <v>360</v>
      </c>
      <c r="F272" s="44">
        <v>2543581</v>
      </c>
    </row>
    <row r="273" spans="1:6" ht="12.75" customHeight="1">
      <c r="A273" s="7" t="s">
        <v>315</v>
      </c>
      <c r="B273" s="3">
        <v>55110</v>
      </c>
      <c r="C273" s="7" t="s">
        <v>390</v>
      </c>
      <c r="D273" s="7" t="s">
        <v>319</v>
      </c>
      <c r="E273" s="7" t="s">
        <v>362</v>
      </c>
      <c r="F273" s="44">
        <v>61431</v>
      </c>
    </row>
    <row r="274" spans="1:6" ht="12.75" customHeight="1">
      <c r="A274" s="7" t="s">
        <v>315</v>
      </c>
      <c r="B274" s="3">
        <v>55110</v>
      </c>
      <c r="C274" s="7" t="s">
        <v>390</v>
      </c>
      <c r="D274" s="7" t="s">
        <v>319</v>
      </c>
      <c r="E274" s="7" t="s">
        <v>363</v>
      </c>
      <c r="F274" s="44">
        <v>25000</v>
      </c>
    </row>
  </sheetData>
  <hyperlinks>
    <hyperlink ref="C1" location="TOC!A1" display="Return to TOC" xr:uid="{00000000-0004-0000-0900-000000000000}"/>
  </hyperlinks>
  <pageMargins left="0.75" right="0.75" top="1" bottom="1" header="0" footer="0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rgb="FF00FF00"/>
  </sheetPr>
  <dimension ref="A1:F278"/>
  <sheetViews>
    <sheetView workbookViewId="0">
      <selection activeCell="H6" sqref="H6"/>
    </sheetView>
  </sheetViews>
  <sheetFormatPr defaultColWidth="14.44140625" defaultRowHeight="15" customHeight="1"/>
  <cols>
    <col min="1" max="1" width="18.44140625" bestFit="1" customWidth="1"/>
    <col min="2" max="5" width="8.6640625" customWidth="1"/>
    <col min="6" max="6" width="13.88671875" bestFit="1" customWidth="1"/>
    <col min="7" max="16" width="8.6640625" customWidth="1"/>
  </cols>
  <sheetData>
    <row r="1" spans="1:6" ht="12.75" customHeight="1">
      <c r="D1" s="2" t="s">
        <v>20</v>
      </c>
    </row>
    <row r="2" spans="1:6" ht="12.75" customHeight="1">
      <c r="A2" s="48" t="s">
        <v>415</v>
      </c>
      <c r="B2" s="49" t="s">
        <v>416</v>
      </c>
    </row>
    <row r="3" spans="1:6" ht="12.75" customHeight="1">
      <c r="A3" s="48" t="s">
        <v>417</v>
      </c>
    </row>
    <row r="4" spans="1:6" ht="12.75" customHeight="1"/>
    <row r="5" spans="1:6" ht="12.75" customHeight="1" thickBot="1"/>
    <row r="6" spans="1:6" ht="12.75" customHeight="1" thickTop="1" thickBot="1">
      <c r="A6" s="5" t="s">
        <v>310</v>
      </c>
      <c r="B6" s="5" t="s">
        <v>311</v>
      </c>
      <c r="C6" s="5" t="s">
        <v>312</v>
      </c>
      <c r="D6" s="5" t="s">
        <v>313</v>
      </c>
      <c r="E6" s="5" t="s">
        <v>297</v>
      </c>
      <c r="F6" s="5" t="s">
        <v>314</v>
      </c>
    </row>
    <row r="7" spans="1:6" ht="12.75" hidden="1" customHeight="1">
      <c r="A7" s="7" t="s">
        <v>315</v>
      </c>
      <c r="B7" s="3">
        <v>40210</v>
      </c>
      <c r="C7" s="7" t="s">
        <v>316</v>
      </c>
      <c r="D7" s="7" t="s">
        <v>317</v>
      </c>
      <c r="E7" s="7" t="s">
        <v>318</v>
      </c>
      <c r="F7" s="44">
        <v>-60.35</v>
      </c>
    </row>
    <row r="8" spans="1:6" ht="12.75" hidden="1" customHeight="1">
      <c r="A8" s="7" t="s">
        <v>315</v>
      </c>
      <c r="B8" s="3">
        <v>42434</v>
      </c>
      <c r="C8" s="7" t="s">
        <v>316</v>
      </c>
      <c r="D8" s="7" t="s">
        <v>317</v>
      </c>
      <c r="E8" s="7" t="s">
        <v>318</v>
      </c>
      <c r="F8" s="44">
        <v>-656538.64</v>
      </c>
    </row>
    <row r="9" spans="1:6" ht="12.75" hidden="1" customHeight="1">
      <c r="A9" s="7" t="s">
        <v>315</v>
      </c>
      <c r="B9" s="3">
        <v>43405</v>
      </c>
      <c r="C9" s="7" t="s">
        <v>316</v>
      </c>
      <c r="D9" s="7" t="s">
        <v>317</v>
      </c>
      <c r="E9" s="7" t="s">
        <v>318</v>
      </c>
      <c r="F9" s="44">
        <v>-1775</v>
      </c>
    </row>
    <row r="10" spans="1:6" ht="12.75" hidden="1" customHeight="1">
      <c r="A10" s="7" t="s">
        <v>315</v>
      </c>
      <c r="B10" s="3">
        <v>43451</v>
      </c>
      <c r="C10" s="7" t="s">
        <v>316</v>
      </c>
      <c r="D10" s="7" t="s">
        <v>317</v>
      </c>
      <c r="E10" s="7" t="s">
        <v>318</v>
      </c>
      <c r="F10" s="44">
        <v>-1707</v>
      </c>
    </row>
    <row r="11" spans="1:6" ht="12.75" hidden="1" customHeight="1">
      <c r="A11" s="7" t="s">
        <v>315</v>
      </c>
      <c r="B11" s="3">
        <v>43724</v>
      </c>
      <c r="C11" s="7" t="s">
        <v>316</v>
      </c>
      <c r="D11" s="7" t="s">
        <v>317</v>
      </c>
      <c r="E11" s="7" t="s">
        <v>318</v>
      </c>
      <c r="F11" s="44">
        <v>-30</v>
      </c>
    </row>
    <row r="12" spans="1:6" ht="12.75" hidden="1" customHeight="1">
      <c r="A12" s="7" t="s">
        <v>315</v>
      </c>
      <c r="B12" s="3">
        <v>44011</v>
      </c>
      <c r="C12" s="7" t="s">
        <v>316</v>
      </c>
      <c r="D12" s="7" t="s">
        <v>317</v>
      </c>
      <c r="E12" s="7" t="s">
        <v>318</v>
      </c>
      <c r="F12" s="44">
        <v>-704.35</v>
      </c>
    </row>
    <row r="13" spans="1:6" ht="12.75" hidden="1" customHeight="1">
      <c r="A13" s="7" t="s">
        <v>315</v>
      </c>
      <c r="B13" s="3">
        <v>44321</v>
      </c>
      <c r="C13" s="7" t="s">
        <v>316</v>
      </c>
      <c r="D13" s="7" t="s">
        <v>317</v>
      </c>
      <c r="E13" s="7" t="s">
        <v>318</v>
      </c>
      <c r="F13" s="44">
        <v>-500</v>
      </c>
    </row>
    <row r="14" spans="1:6" ht="12.75" hidden="1" customHeight="1">
      <c r="A14" s="7" t="s">
        <v>315</v>
      </c>
      <c r="B14" s="3">
        <v>44410</v>
      </c>
      <c r="C14" s="7" t="s">
        <v>316</v>
      </c>
      <c r="D14" s="7" t="s">
        <v>317</v>
      </c>
      <c r="E14" s="7" t="s">
        <v>318</v>
      </c>
      <c r="F14" s="44">
        <v>-283</v>
      </c>
    </row>
    <row r="15" spans="1:6" ht="12.75" hidden="1" customHeight="1">
      <c r="A15" s="7" t="s">
        <v>315</v>
      </c>
      <c r="B15" s="3">
        <v>45020</v>
      </c>
      <c r="C15" s="7" t="s">
        <v>316</v>
      </c>
      <c r="D15" s="7" t="s">
        <v>319</v>
      </c>
      <c r="E15" s="7" t="s">
        <v>320</v>
      </c>
      <c r="F15" s="44">
        <v>-75874.27</v>
      </c>
    </row>
    <row r="16" spans="1:6" ht="12.75" hidden="1" customHeight="1">
      <c r="A16" s="7" t="s">
        <v>315</v>
      </c>
      <c r="B16" s="3">
        <v>45020</v>
      </c>
      <c r="C16" s="7" t="s">
        <v>316</v>
      </c>
      <c r="D16" s="7" t="s">
        <v>319</v>
      </c>
      <c r="E16" s="7" t="s">
        <v>321</v>
      </c>
      <c r="F16" s="44">
        <v>-3997776.94</v>
      </c>
    </row>
    <row r="17" spans="1:6" ht="12.75" hidden="1" customHeight="1">
      <c r="A17" s="7" t="s">
        <v>315</v>
      </c>
      <c r="B17" s="3">
        <v>45020</v>
      </c>
      <c r="C17" s="7" t="s">
        <v>316</v>
      </c>
      <c r="D17" s="7" t="s">
        <v>319</v>
      </c>
      <c r="E17" s="7" t="s">
        <v>322</v>
      </c>
      <c r="F17" s="44">
        <v>-244913</v>
      </c>
    </row>
    <row r="18" spans="1:6" ht="12.75" hidden="1" customHeight="1">
      <c r="A18" s="7" t="s">
        <v>315</v>
      </c>
      <c r="B18" s="3">
        <v>45020</v>
      </c>
      <c r="C18" s="7" t="s">
        <v>316</v>
      </c>
      <c r="D18" s="7" t="s">
        <v>319</v>
      </c>
      <c r="E18" s="7" t="s">
        <v>323</v>
      </c>
      <c r="F18" s="44">
        <v>-3106733.4</v>
      </c>
    </row>
    <row r="19" spans="1:6" ht="12.75" hidden="1" customHeight="1">
      <c r="A19" s="7" t="s">
        <v>315</v>
      </c>
      <c r="B19" s="3">
        <v>45020</v>
      </c>
      <c r="C19" s="7" t="s">
        <v>316</v>
      </c>
      <c r="D19" s="7" t="s">
        <v>319</v>
      </c>
      <c r="E19" s="7" t="s">
        <v>324</v>
      </c>
      <c r="F19" s="44">
        <v>-294485.21000000002</v>
      </c>
    </row>
    <row r="20" spans="1:6" ht="12.75" hidden="1" customHeight="1">
      <c r="A20" s="7" t="s">
        <v>315</v>
      </c>
      <c r="B20" s="3">
        <v>45020</v>
      </c>
      <c r="C20" s="7" t="s">
        <v>316</v>
      </c>
      <c r="D20" s="7" t="s">
        <v>319</v>
      </c>
      <c r="E20" s="7" t="s">
        <v>325</v>
      </c>
      <c r="F20" s="44">
        <v>-4493</v>
      </c>
    </row>
    <row r="21" spans="1:6" ht="12.75" hidden="1" customHeight="1">
      <c r="A21" s="7" t="s">
        <v>315</v>
      </c>
      <c r="B21" s="3">
        <v>45020</v>
      </c>
      <c r="C21" s="7" t="s">
        <v>316</v>
      </c>
      <c r="D21" s="7" t="s">
        <v>319</v>
      </c>
      <c r="E21" s="7" t="s">
        <v>326</v>
      </c>
      <c r="F21" s="44">
        <v>-769990</v>
      </c>
    </row>
    <row r="22" spans="1:6" ht="12.75" hidden="1" customHeight="1">
      <c r="A22" s="7" t="s">
        <v>315</v>
      </c>
      <c r="B22" s="3">
        <v>45020</v>
      </c>
      <c r="C22" s="7" t="s">
        <v>316</v>
      </c>
      <c r="D22" s="7" t="s">
        <v>319</v>
      </c>
      <c r="E22" s="7" t="s">
        <v>327</v>
      </c>
      <c r="F22" s="44">
        <v>-130613.34</v>
      </c>
    </row>
    <row r="23" spans="1:6" ht="12.75" hidden="1" customHeight="1">
      <c r="A23" s="7" t="s">
        <v>315</v>
      </c>
      <c r="B23" s="3">
        <v>45020</v>
      </c>
      <c r="C23" s="7" t="s">
        <v>316</v>
      </c>
      <c r="D23" s="7" t="s">
        <v>319</v>
      </c>
      <c r="E23" s="7" t="s">
        <v>328</v>
      </c>
      <c r="F23" s="44">
        <v>-15935</v>
      </c>
    </row>
    <row r="24" spans="1:6" ht="12.75" hidden="1" customHeight="1">
      <c r="A24" s="7" t="s">
        <v>315</v>
      </c>
      <c r="B24" s="3">
        <v>45020</v>
      </c>
      <c r="C24" s="7" t="s">
        <v>316</v>
      </c>
      <c r="D24" s="7" t="s">
        <v>319</v>
      </c>
      <c r="E24" s="7" t="s">
        <v>329</v>
      </c>
      <c r="F24" s="44">
        <v>-34289.370000000003</v>
      </c>
    </row>
    <row r="25" spans="1:6" ht="12.75" hidden="1" customHeight="1">
      <c r="A25" s="7" t="s">
        <v>315</v>
      </c>
      <c r="B25" s="3">
        <v>45020</v>
      </c>
      <c r="C25" s="7" t="s">
        <v>316</v>
      </c>
      <c r="D25" s="7" t="s">
        <v>319</v>
      </c>
      <c r="E25" s="7" t="s">
        <v>330</v>
      </c>
      <c r="F25" s="44">
        <v>-14201220.109999999</v>
      </c>
    </row>
    <row r="26" spans="1:6" ht="12.75" hidden="1" customHeight="1">
      <c r="A26" s="7" t="s">
        <v>315</v>
      </c>
      <c r="B26" s="3">
        <v>45020</v>
      </c>
      <c r="C26" s="7" t="s">
        <v>316</v>
      </c>
      <c r="D26" s="7" t="s">
        <v>319</v>
      </c>
      <c r="E26" s="7" t="s">
        <v>331</v>
      </c>
      <c r="F26" s="44">
        <v>-14243639.689999999</v>
      </c>
    </row>
    <row r="27" spans="1:6" ht="12.75" hidden="1" customHeight="1">
      <c r="A27" s="7" t="s">
        <v>315</v>
      </c>
      <c r="B27" s="3">
        <v>45020</v>
      </c>
      <c r="C27" s="7" t="s">
        <v>316</v>
      </c>
      <c r="D27" s="7" t="s">
        <v>319</v>
      </c>
      <c r="E27" s="7" t="s">
        <v>332</v>
      </c>
      <c r="F27" s="44">
        <v>-185671.45</v>
      </c>
    </row>
    <row r="28" spans="1:6" ht="12.75" hidden="1" customHeight="1">
      <c r="A28" s="7" t="s">
        <v>315</v>
      </c>
      <c r="B28" s="3">
        <v>45020</v>
      </c>
      <c r="C28" s="7" t="s">
        <v>316</v>
      </c>
      <c r="D28" s="7" t="s">
        <v>319</v>
      </c>
      <c r="E28" s="7" t="s">
        <v>333</v>
      </c>
      <c r="F28" s="44">
        <v>-26200</v>
      </c>
    </row>
    <row r="29" spans="1:6" ht="12.75" hidden="1" customHeight="1">
      <c r="A29" s="7" t="s">
        <v>315</v>
      </c>
      <c r="B29" s="3">
        <v>45020</v>
      </c>
      <c r="C29" s="7" t="s">
        <v>316</v>
      </c>
      <c r="D29" s="7" t="s">
        <v>319</v>
      </c>
      <c r="E29" s="7" t="s">
        <v>334</v>
      </c>
      <c r="F29" s="44">
        <v>-681580.33</v>
      </c>
    </row>
    <row r="30" spans="1:6" ht="12.75" hidden="1" customHeight="1">
      <c r="A30" s="7" t="s">
        <v>315</v>
      </c>
      <c r="B30" s="3">
        <v>45020</v>
      </c>
      <c r="C30" s="7" t="s">
        <v>316</v>
      </c>
      <c r="D30" s="7" t="s">
        <v>319</v>
      </c>
      <c r="E30" s="7" t="s">
        <v>335</v>
      </c>
      <c r="F30" s="44">
        <v>-150.33000000000001</v>
      </c>
    </row>
    <row r="31" spans="1:6" ht="12.75" hidden="1" customHeight="1">
      <c r="A31" s="7" t="s">
        <v>315</v>
      </c>
      <c r="B31" s="3">
        <v>45020</v>
      </c>
      <c r="C31" s="7" t="s">
        <v>316</v>
      </c>
      <c r="D31" s="7" t="s">
        <v>319</v>
      </c>
      <c r="E31" s="7" t="s">
        <v>336</v>
      </c>
      <c r="F31" s="44">
        <v>-34681.14</v>
      </c>
    </row>
    <row r="32" spans="1:6" ht="12.75" hidden="1" customHeight="1">
      <c r="A32" s="7" t="s">
        <v>315</v>
      </c>
      <c r="B32" s="3">
        <v>45020</v>
      </c>
      <c r="C32" s="7" t="s">
        <v>316</v>
      </c>
      <c r="D32" s="7" t="s">
        <v>319</v>
      </c>
      <c r="E32" s="7" t="s">
        <v>337</v>
      </c>
      <c r="F32" s="44">
        <v>-592356.93000000005</v>
      </c>
    </row>
    <row r="33" spans="1:6" ht="12.75" hidden="1" customHeight="1">
      <c r="A33" s="7" t="s">
        <v>315</v>
      </c>
      <c r="B33" s="3">
        <v>45020</v>
      </c>
      <c r="C33" s="7" t="s">
        <v>316</v>
      </c>
      <c r="D33" s="7" t="s">
        <v>319</v>
      </c>
      <c r="E33" s="7" t="s">
        <v>338</v>
      </c>
      <c r="F33" s="44">
        <v>-150.33000000000001</v>
      </c>
    </row>
    <row r="34" spans="1:6" ht="12.75" hidden="1" customHeight="1">
      <c r="A34" s="7" t="s">
        <v>315</v>
      </c>
      <c r="B34" s="3">
        <v>45020</v>
      </c>
      <c r="C34" s="7" t="s">
        <v>316</v>
      </c>
      <c r="D34" s="7" t="s">
        <v>319</v>
      </c>
      <c r="E34" s="7" t="s">
        <v>339</v>
      </c>
      <c r="F34" s="44">
        <v>-404518.95</v>
      </c>
    </row>
    <row r="35" spans="1:6" ht="12.75" hidden="1" customHeight="1">
      <c r="A35" s="7" t="s">
        <v>315</v>
      </c>
      <c r="B35" s="3">
        <v>45020</v>
      </c>
      <c r="C35" s="7" t="s">
        <v>316</v>
      </c>
      <c r="D35" s="7" t="s">
        <v>319</v>
      </c>
      <c r="E35" s="7" t="s">
        <v>340</v>
      </c>
      <c r="F35" s="44">
        <v>-43457.42</v>
      </c>
    </row>
    <row r="36" spans="1:6" ht="12.75" hidden="1" customHeight="1">
      <c r="A36" s="7" t="s">
        <v>315</v>
      </c>
      <c r="B36" s="3">
        <v>45020</v>
      </c>
      <c r="C36" s="7" t="s">
        <v>316</v>
      </c>
      <c r="D36" s="7" t="s">
        <v>319</v>
      </c>
      <c r="E36" s="7" t="s">
        <v>341</v>
      </c>
      <c r="F36" s="44">
        <v>-863165.09</v>
      </c>
    </row>
    <row r="37" spans="1:6" ht="12.75" hidden="1" customHeight="1">
      <c r="A37" s="7" t="s">
        <v>315</v>
      </c>
      <c r="B37" s="3">
        <v>45020</v>
      </c>
      <c r="C37" s="7" t="s">
        <v>316</v>
      </c>
      <c r="D37" s="7" t="s">
        <v>319</v>
      </c>
      <c r="E37" s="7" t="s">
        <v>342</v>
      </c>
      <c r="F37" s="44">
        <v>-2859438.63</v>
      </c>
    </row>
    <row r="38" spans="1:6" ht="12.75" hidden="1" customHeight="1">
      <c r="A38" s="7" t="s">
        <v>315</v>
      </c>
      <c r="B38" s="3">
        <v>45020</v>
      </c>
      <c r="C38" s="7" t="s">
        <v>316</v>
      </c>
      <c r="D38" s="7" t="s">
        <v>319</v>
      </c>
      <c r="E38" s="7" t="s">
        <v>343</v>
      </c>
      <c r="F38" s="44">
        <v>-855872.75</v>
      </c>
    </row>
    <row r="39" spans="1:6" ht="12.75" hidden="1" customHeight="1">
      <c r="A39" s="7" t="s">
        <v>315</v>
      </c>
      <c r="B39" s="3">
        <v>45020</v>
      </c>
      <c r="C39" s="7" t="s">
        <v>316</v>
      </c>
      <c r="D39" s="7" t="s">
        <v>319</v>
      </c>
      <c r="E39" s="7" t="s">
        <v>344</v>
      </c>
      <c r="F39" s="44">
        <v>-845022.37</v>
      </c>
    </row>
    <row r="40" spans="1:6" ht="12.75" hidden="1" customHeight="1">
      <c r="A40" s="7" t="s">
        <v>315</v>
      </c>
      <c r="B40" s="3">
        <v>45020</v>
      </c>
      <c r="C40" s="7" t="s">
        <v>316</v>
      </c>
      <c r="D40" s="7" t="s">
        <v>319</v>
      </c>
      <c r="E40" s="7" t="s">
        <v>345</v>
      </c>
      <c r="F40" s="44">
        <v>-320826.17</v>
      </c>
    </row>
    <row r="41" spans="1:6" ht="12.75" hidden="1" customHeight="1">
      <c r="A41" s="7" t="s">
        <v>315</v>
      </c>
      <c r="B41" s="3">
        <v>45020</v>
      </c>
      <c r="C41" s="7" t="s">
        <v>316</v>
      </c>
      <c r="D41" s="7" t="s">
        <v>319</v>
      </c>
      <c r="E41" s="7" t="s">
        <v>346</v>
      </c>
      <c r="F41" s="44">
        <v>-331563.61</v>
      </c>
    </row>
    <row r="42" spans="1:6" ht="12.75" hidden="1" customHeight="1">
      <c r="A42" s="7" t="s">
        <v>315</v>
      </c>
      <c r="B42" s="3">
        <v>45020</v>
      </c>
      <c r="C42" s="7" t="s">
        <v>316</v>
      </c>
      <c r="D42" s="7" t="s">
        <v>319</v>
      </c>
      <c r="E42" s="7" t="s">
        <v>347</v>
      </c>
      <c r="F42" s="44">
        <v>-15465.54</v>
      </c>
    </row>
    <row r="43" spans="1:6" ht="12.75" hidden="1" customHeight="1">
      <c r="A43" s="7" t="s">
        <v>315</v>
      </c>
      <c r="B43" s="3">
        <v>45020</v>
      </c>
      <c r="C43" s="7" t="s">
        <v>316</v>
      </c>
      <c r="D43" s="7" t="s">
        <v>319</v>
      </c>
      <c r="E43" s="7" t="s">
        <v>348</v>
      </c>
      <c r="F43" s="44">
        <v>-7855.04</v>
      </c>
    </row>
    <row r="44" spans="1:6" ht="12.75" hidden="1" customHeight="1">
      <c r="A44" s="7" t="s">
        <v>315</v>
      </c>
      <c r="B44" s="3">
        <v>45020</v>
      </c>
      <c r="C44" s="7" t="s">
        <v>316</v>
      </c>
      <c r="D44" s="7" t="s">
        <v>319</v>
      </c>
      <c r="E44" s="7" t="s">
        <v>349</v>
      </c>
      <c r="F44" s="44">
        <v>-25013.67</v>
      </c>
    </row>
    <row r="45" spans="1:6" ht="12.75" hidden="1" customHeight="1">
      <c r="A45" s="7" t="s">
        <v>315</v>
      </c>
      <c r="B45" s="3">
        <v>45020</v>
      </c>
      <c r="C45" s="7" t="s">
        <v>316</v>
      </c>
      <c r="D45" s="7" t="s">
        <v>319</v>
      </c>
      <c r="E45" s="7" t="s">
        <v>350</v>
      </c>
      <c r="F45" s="44">
        <v>-20887929.149999999</v>
      </c>
    </row>
    <row r="46" spans="1:6" ht="12.75" hidden="1" customHeight="1">
      <c r="A46" s="7" t="s">
        <v>315</v>
      </c>
      <c r="B46" s="3">
        <v>45020</v>
      </c>
      <c r="C46" s="7" t="s">
        <v>316</v>
      </c>
      <c r="D46" s="7" t="s">
        <v>319</v>
      </c>
      <c r="E46" s="7" t="s">
        <v>351</v>
      </c>
      <c r="F46" s="44">
        <v>-610861.9</v>
      </c>
    </row>
    <row r="47" spans="1:6" ht="12.75" hidden="1" customHeight="1">
      <c r="A47" s="7" t="s">
        <v>315</v>
      </c>
      <c r="B47" s="3">
        <v>45020</v>
      </c>
      <c r="C47" s="7" t="s">
        <v>316</v>
      </c>
      <c r="D47" s="7" t="s">
        <v>319</v>
      </c>
      <c r="E47" s="7" t="s">
        <v>352</v>
      </c>
      <c r="F47" s="44">
        <v>-129089.7</v>
      </c>
    </row>
    <row r="48" spans="1:6" ht="12.75" hidden="1" customHeight="1">
      <c r="A48" s="7" t="s">
        <v>315</v>
      </c>
      <c r="B48" s="3">
        <v>45020</v>
      </c>
      <c r="C48" s="7" t="s">
        <v>316</v>
      </c>
      <c r="D48" s="7" t="s">
        <v>319</v>
      </c>
      <c r="E48" s="7" t="s">
        <v>353</v>
      </c>
      <c r="F48" s="44">
        <v>-334658.34000000003</v>
      </c>
    </row>
    <row r="49" spans="1:6" ht="12.75" hidden="1" customHeight="1">
      <c r="A49" s="7" t="s">
        <v>315</v>
      </c>
      <c r="B49" s="3">
        <v>45020</v>
      </c>
      <c r="C49" s="7" t="s">
        <v>316</v>
      </c>
      <c r="D49" s="7" t="s">
        <v>319</v>
      </c>
      <c r="E49" s="7" t="s">
        <v>354</v>
      </c>
      <c r="F49" s="44">
        <v>123666.68</v>
      </c>
    </row>
    <row r="50" spans="1:6" ht="12.75" hidden="1" customHeight="1">
      <c r="A50" s="7" t="s">
        <v>315</v>
      </c>
      <c r="B50" s="3">
        <v>45020</v>
      </c>
      <c r="C50" s="7" t="s">
        <v>316</v>
      </c>
      <c r="D50" s="7" t="s">
        <v>319</v>
      </c>
      <c r="E50" s="7" t="s">
        <v>355</v>
      </c>
      <c r="F50" s="44">
        <v>-21482</v>
      </c>
    </row>
    <row r="51" spans="1:6" ht="12.75" hidden="1" customHeight="1">
      <c r="A51" s="7" t="s">
        <v>315</v>
      </c>
      <c r="B51" s="3">
        <v>45020</v>
      </c>
      <c r="C51" s="7" t="s">
        <v>316</v>
      </c>
      <c r="D51" s="7" t="s">
        <v>319</v>
      </c>
      <c r="E51" s="7" t="s">
        <v>356</v>
      </c>
      <c r="F51" s="44">
        <v>-190965</v>
      </c>
    </row>
    <row r="52" spans="1:6" ht="12.75" hidden="1" customHeight="1">
      <c r="A52" s="7" t="s">
        <v>315</v>
      </c>
      <c r="B52" s="3">
        <v>45020</v>
      </c>
      <c r="C52" s="7" t="s">
        <v>316</v>
      </c>
      <c r="D52" s="7" t="s">
        <v>319</v>
      </c>
      <c r="E52" s="7" t="s">
        <v>357</v>
      </c>
      <c r="F52" s="44">
        <v>-225014.45</v>
      </c>
    </row>
    <row r="53" spans="1:6" ht="12.75" hidden="1" customHeight="1">
      <c r="A53" s="7" t="s">
        <v>315</v>
      </c>
      <c r="B53" s="3">
        <v>45020</v>
      </c>
      <c r="C53" s="7" t="s">
        <v>316</v>
      </c>
      <c r="D53" s="7" t="s">
        <v>319</v>
      </c>
      <c r="E53" s="7" t="s">
        <v>358</v>
      </c>
      <c r="F53" s="44">
        <v>-384952.87</v>
      </c>
    </row>
    <row r="54" spans="1:6" ht="12.75" hidden="1" customHeight="1">
      <c r="A54" s="7" t="s">
        <v>315</v>
      </c>
      <c r="B54" s="3">
        <v>45020</v>
      </c>
      <c r="C54" s="7" t="s">
        <v>316</v>
      </c>
      <c r="D54" s="7" t="s">
        <v>319</v>
      </c>
      <c r="E54" s="7" t="s">
        <v>359</v>
      </c>
      <c r="F54" s="44">
        <v>-2232582</v>
      </c>
    </row>
    <row r="55" spans="1:6" ht="12.75" hidden="1" customHeight="1">
      <c r="A55" s="7" t="s">
        <v>315</v>
      </c>
      <c r="B55" s="3">
        <v>45020</v>
      </c>
      <c r="C55" s="7" t="s">
        <v>316</v>
      </c>
      <c r="D55" s="7" t="s">
        <v>319</v>
      </c>
      <c r="E55" s="7" t="s">
        <v>360</v>
      </c>
      <c r="F55" s="44">
        <v>-6811293</v>
      </c>
    </row>
    <row r="56" spans="1:6" ht="12.75" hidden="1" customHeight="1">
      <c r="A56" s="7" t="s">
        <v>315</v>
      </c>
      <c r="B56" s="3">
        <v>45020</v>
      </c>
      <c r="C56" s="7" t="s">
        <v>316</v>
      </c>
      <c r="D56" s="7" t="s">
        <v>319</v>
      </c>
      <c r="E56" s="7" t="s">
        <v>361</v>
      </c>
      <c r="F56" s="44">
        <v>-240890</v>
      </c>
    </row>
    <row r="57" spans="1:6" ht="12.75" hidden="1" customHeight="1">
      <c r="A57" s="7" t="s">
        <v>315</v>
      </c>
      <c r="B57" s="3">
        <v>45020</v>
      </c>
      <c r="C57" s="7" t="s">
        <v>316</v>
      </c>
      <c r="D57" s="7" t="s">
        <v>319</v>
      </c>
      <c r="E57" s="7" t="s">
        <v>362</v>
      </c>
      <c r="F57" s="44">
        <v>-408459</v>
      </c>
    </row>
    <row r="58" spans="1:6" ht="12.75" hidden="1" customHeight="1">
      <c r="A58" s="7" t="s">
        <v>315</v>
      </c>
      <c r="B58" s="3">
        <v>45020</v>
      </c>
      <c r="C58" s="7" t="s">
        <v>316</v>
      </c>
      <c r="D58" s="7" t="s">
        <v>319</v>
      </c>
      <c r="E58" s="7" t="s">
        <v>363</v>
      </c>
      <c r="F58" s="44">
        <v>-10074</v>
      </c>
    </row>
    <row r="59" spans="1:6" ht="12.75" hidden="1" customHeight="1">
      <c r="A59" s="7" t="s">
        <v>315</v>
      </c>
      <c r="B59" s="3">
        <v>46300</v>
      </c>
      <c r="C59" s="7" t="s">
        <v>316</v>
      </c>
      <c r="D59" s="7" t="s">
        <v>317</v>
      </c>
      <c r="E59" s="7" t="s">
        <v>318</v>
      </c>
      <c r="F59" s="44">
        <v>4361.05</v>
      </c>
    </row>
    <row r="60" spans="1:6" ht="12.75" hidden="1" customHeight="1">
      <c r="A60" s="7" t="s">
        <v>315</v>
      </c>
      <c r="B60" s="3">
        <v>50110</v>
      </c>
      <c r="C60" s="7" t="s">
        <v>316</v>
      </c>
      <c r="D60" s="7" t="s">
        <v>317</v>
      </c>
      <c r="E60" s="7" t="s">
        <v>364</v>
      </c>
      <c r="F60" s="44">
        <v>566039.36</v>
      </c>
    </row>
    <row r="61" spans="1:6" ht="12.75" hidden="1" customHeight="1">
      <c r="A61" s="7" t="s">
        <v>315</v>
      </c>
      <c r="B61" s="3">
        <v>50150</v>
      </c>
      <c r="C61" s="7" t="s">
        <v>316</v>
      </c>
      <c r="D61" s="7" t="s">
        <v>317</v>
      </c>
      <c r="E61" s="7" t="s">
        <v>364</v>
      </c>
      <c r="F61" s="44">
        <v>56328.76</v>
      </c>
    </row>
    <row r="62" spans="1:6" ht="12.75" hidden="1" customHeight="1">
      <c r="A62" s="7" t="s">
        <v>315</v>
      </c>
      <c r="B62" s="3">
        <v>50410</v>
      </c>
      <c r="C62" s="7" t="s">
        <v>316</v>
      </c>
      <c r="D62" s="7" t="s">
        <v>317</v>
      </c>
      <c r="E62" s="7" t="s">
        <v>364</v>
      </c>
      <c r="F62" s="44">
        <v>0</v>
      </c>
    </row>
    <row r="63" spans="1:6" ht="12.75" hidden="1" customHeight="1">
      <c r="A63" s="7" t="s">
        <v>315</v>
      </c>
      <c r="B63" s="3">
        <v>50420</v>
      </c>
      <c r="C63" s="7" t="s">
        <v>316</v>
      </c>
      <c r="D63" s="7" t="s">
        <v>317</v>
      </c>
      <c r="E63" s="7" t="s">
        <v>364</v>
      </c>
      <c r="F63" s="44">
        <v>0</v>
      </c>
    </row>
    <row r="64" spans="1:6" ht="12.75" hidden="1" customHeight="1">
      <c r="A64" s="7" t="s">
        <v>315</v>
      </c>
      <c r="B64" s="3">
        <v>50430</v>
      </c>
      <c r="C64" s="7" t="s">
        <v>316</v>
      </c>
      <c r="D64" s="7" t="s">
        <v>317</v>
      </c>
      <c r="E64" s="7" t="s">
        <v>364</v>
      </c>
      <c r="F64" s="44">
        <v>0</v>
      </c>
    </row>
    <row r="65" spans="1:6" ht="12.75" hidden="1" customHeight="1">
      <c r="A65" s="7" t="s">
        <v>315</v>
      </c>
      <c r="B65" s="3">
        <v>50441</v>
      </c>
      <c r="C65" s="7" t="s">
        <v>316</v>
      </c>
      <c r="D65" s="7" t="s">
        <v>317</v>
      </c>
      <c r="E65" s="7" t="s">
        <v>364</v>
      </c>
      <c r="F65" s="44">
        <v>0</v>
      </c>
    </row>
    <row r="66" spans="1:6" ht="12.75" hidden="1" customHeight="1">
      <c r="A66" s="7" t="s">
        <v>315</v>
      </c>
      <c r="B66" s="3">
        <v>50442</v>
      </c>
      <c r="C66" s="7" t="s">
        <v>316</v>
      </c>
      <c r="D66" s="7" t="s">
        <v>317</v>
      </c>
      <c r="E66" s="7" t="s">
        <v>364</v>
      </c>
      <c r="F66" s="44">
        <v>0</v>
      </c>
    </row>
    <row r="67" spans="1:6" ht="12.75" hidden="1" customHeight="1">
      <c r="A67" s="7" t="s">
        <v>315</v>
      </c>
      <c r="B67" s="3">
        <v>50471</v>
      </c>
      <c r="C67" s="7" t="s">
        <v>316</v>
      </c>
      <c r="D67" s="7" t="s">
        <v>317</v>
      </c>
      <c r="E67" s="7" t="s">
        <v>364</v>
      </c>
      <c r="F67" s="44">
        <v>0</v>
      </c>
    </row>
    <row r="68" spans="1:6" ht="12.75" hidden="1" customHeight="1">
      <c r="A68" s="7" t="s">
        <v>315</v>
      </c>
      <c r="B68" s="3">
        <v>50710</v>
      </c>
      <c r="C68" s="7" t="s">
        <v>316</v>
      </c>
      <c r="D68" s="7" t="s">
        <v>317</v>
      </c>
      <c r="E68" s="7" t="s">
        <v>364</v>
      </c>
      <c r="F68" s="44">
        <v>0</v>
      </c>
    </row>
    <row r="69" spans="1:6" ht="12.75" hidden="1" customHeight="1">
      <c r="A69" s="7" t="s">
        <v>315</v>
      </c>
      <c r="B69" s="3">
        <v>50710</v>
      </c>
      <c r="C69" s="7" t="s">
        <v>316</v>
      </c>
      <c r="D69" s="7" t="s">
        <v>317</v>
      </c>
      <c r="E69" s="7" t="s">
        <v>365</v>
      </c>
      <c r="F69" s="44">
        <v>1080</v>
      </c>
    </row>
    <row r="70" spans="1:6" ht="12.75" hidden="1" customHeight="1">
      <c r="A70" s="7" t="s">
        <v>315</v>
      </c>
      <c r="B70" s="3">
        <v>51761</v>
      </c>
      <c r="C70" s="7" t="s">
        <v>316</v>
      </c>
      <c r="D70" s="7" t="s">
        <v>317</v>
      </c>
      <c r="E70" s="7" t="s">
        <v>365</v>
      </c>
      <c r="F70" s="44">
        <v>522</v>
      </c>
    </row>
    <row r="71" spans="1:6" ht="12.75" hidden="1" customHeight="1">
      <c r="A71" s="7" t="s">
        <v>315</v>
      </c>
      <c r="B71" s="3">
        <v>51764</v>
      </c>
      <c r="C71" s="7" t="s">
        <v>316</v>
      </c>
      <c r="D71" s="7" t="s">
        <v>317</v>
      </c>
      <c r="E71" s="7" t="s">
        <v>365</v>
      </c>
      <c r="F71" s="44">
        <v>10868.07</v>
      </c>
    </row>
    <row r="72" spans="1:6" ht="12.75" hidden="1" customHeight="1">
      <c r="A72" s="7" t="s">
        <v>315</v>
      </c>
      <c r="B72" s="3">
        <v>51850</v>
      </c>
      <c r="C72" s="7" t="s">
        <v>316</v>
      </c>
      <c r="D72" s="7" t="s">
        <v>317</v>
      </c>
      <c r="E72" s="7" t="s">
        <v>365</v>
      </c>
      <c r="F72" s="44">
        <v>751.92</v>
      </c>
    </row>
    <row r="73" spans="1:6" ht="12.75" hidden="1" customHeight="1">
      <c r="A73" s="7" t="s">
        <v>315</v>
      </c>
      <c r="B73" s="3">
        <v>51873</v>
      </c>
      <c r="C73" s="7" t="s">
        <v>316</v>
      </c>
      <c r="D73" s="7" t="s">
        <v>317</v>
      </c>
      <c r="E73" s="7" t="s">
        <v>365</v>
      </c>
      <c r="F73" s="44">
        <v>-1748.71</v>
      </c>
    </row>
    <row r="74" spans="1:6" ht="12.75" hidden="1" customHeight="1">
      <c r="A74" s="7" t="s">
        <v>315</v>
      </c>
      <c r="B74" s="3">
        <v>51874</v>
      </c>
      <c r="C74" s="7" t="s">
        <v>316</v>
      </c>
      <c r="D74" s="7" t="s">
        <v>317</v>
      </c>
      <c r="E74" s="7" t="s">
        <v>365</v>
      </c>
      <c r="F74" s="44">
        <v>-622.71</v>
      </c>
    </row>
    <row r="75" spans="1:6" ht="12.75" hidden="1" customHeight="1">
      <c r="A75" s="7" t="s">
        <v>315</v>
      </c>
      <c r="B75" s="3">
        <v>52511</v>
      </c>
      <c r="C75" s="7" t="s">
        <v>316</v>
      </c>
      <c r="D75" s="7" t="s">
        <v>317</v>
      </c>
      <c r="E75" s="7" t="s">
        <v>365</v>
      </c>
      <c r="F75" s="44">
        <v>7081.2</v>
      </c>
    </row>
    <row r="76" spans="1:6" ht="12.75" hidden="1" customHeight="1">
      <c r="A76" s="7" t="s">
        <v>315</v>
      </c>
      <c r="B76" s="3">
        <v>52531</v>
      </c>
      <c r="C76" s="7" t="s">
        <v>316</v>
      </c>
      <c r="D76" s="7" t="s">
        <v>317</v>
      </c>
      <c r="E76" s="7" t="s">
        <v>365</v>
      </c>
      <c r="F76" s="44">
        <v>532</v>
      </c>
    </row>
    <row r="77" spans="1:6" ht="12.75" hidden="1" customHeight="1">
      <c r="A77" s="7" t="s">
        <v>315</v>
      </c>
      <c r="B77" s="3">
        <v>53011</v>
      </c>
      <c r="C77" s="7" t="s">
        <v>316</v>
      </c>
      <c r="D77" s="7" t="s">
        <v>317</v>
      </c>
      <c r="E77" s="7" t="s">
        <v>365</v>
      </c>
      <c r="F77" s="44">
        <v>7895</v>
      </c>
    </row>
    <row r="78" spans="1:6" ht="12.75" hidden="1" customHeight="1">
      <c r="A78" s="7" t="s">
        <v>315</v>
      </c>
      <c r="B78" s="3">
        <v>53755</v>
      </c>
      <c r="C78" s="7" t="s">
        <v>316</v>
      </c>
      <c r="D78" s="7" t="s">
        <v>317</v>
      </c>
      <c r="E78" s="7" t="s">
        <v>365</v>
      </c>
      <c r="F78" s="44">
        <v>356</v>
      </c>
    </row>
    <row r="79" spans="1:6" ht="12.75" hidden="1" customHeight="1">
      <c r="A79" s="7" t="s">
        <v>315</v>
      </c>
      <c r="B79" s="3">
        <v>53900</v>
      </c>
      <c r="C79" s="7" t="s">
        <v>316</v>
      </c>
      <c r="D79" s="7" t="s">
        <v>317</v>
      </c>
      <c r="E79" s="7" t="s">
        <v>365</v>
      </c>
      <c r="F79" s="44">
        <v>142.56</v>
      </c>
    </row>
    <row r="80" spans="1:6" ht="12.75" hidden="1" customHeight="1">
      <c r="A80" s="7" t="s">
        <v>315</v>
      </c>
      <c r="B80" s="3">
        <v>54060</v>
      </c>
      <c r="C80" s="7" t="s">
        <v>316</v>
      </c>
      <c r="D80" s="7" t="s">
        <v>317</v>
      </c>
      <c r="E80" s="7" t="s">
        <v>365</v>
      </c>
      <c r="F80" s="44">
        <v>4863</v>
      </c>
    </row>
    <row r="81" spans="1:6" ht="12.75" hidden="1" customHeight="1">
      <c r="A81" s="7" t="s">
        <v>315</v>
      </c>
      <c r="B81" s="3">
        <v>44092</v>
      </c>
      <c r="C81" s="7" t="s">
        <v>366</v>
      </c>
      <c r="D81" s="7" t="s">
        <v>367</v>
      </c>
      <c r="E81" s="7" t="s">
        <v>368</v>
      </c>
      <c r="F81" s="44">
        <v>-173.06</v>
      </c>
    </row>
    <row r="82" spans="1:6" ht="12.75" hidden="1" customHeight="1">
      <c r="A82" s="7" t="s">
        <v>315</v>
      </c>
      <c r="B82" s="3">
        <v>45500</v>
      </c>
      <c r="C82" s="7" t="s">
        <v>366</v>
      </c>
      <c r="D82" s="7" t="s">
        <v>319</v>
      </c>
      <c r="E82" s="7" t="s">
        <v>369</v>
      </c>
      <c r="F82" s="44">
        <v>-706.37</v>
      </c>
    </row>
    <row r="83" spans="1:6" ht="12.75" hidden="1" customHeight="1">
      <c r="A83" s="7" t="s">
        <v>315</v>
      </c>
      <c r="B83" s="3">
        <v>47100</v>
      </c>
      <c r="C83" s="7" t="s">
        <v>366</v>
      </c>
      <c r="D83" s="7" t="s">
        <v>319</v>
      </c>
      <c r="E83" s="7" t="s">
        <v>370</v>
      </c>
      <c r="F83" s="44">
        <v>-335046</v>
      </c>
    </row>
    <row r="84" spans="1:6" ht="12.75" hidden="1" customHeight="1">
      <c r="A84" s="7" t="s">
        <v>315</v>
      </c>
      <c r="B84" s="3">
        <v>47100</v>
      </c>
      <c r="C84" s="7" t="s">
        <v>366</v>
      </c>
      <c r="D84" s="7" t="s">
        <v>319</v>
      </c>
      <c r="E84" s="7" t="s">
        <v>371</v>
      </c>
      <c r="F84" s="44">
        <v>-288251.82</v>
      </c>
    </row>
    <row r="85" spans="1:6" ht="12.75" hidden="1" customHeight="1">
      <c r="A85" s="7" t="s">
        <v>315</v>
      </c>
      <c r="B85" s="3">
        <v>47100</v>
      </c>
      <c r="C85" s="7" t="s">
        <v>366</v>
      </c>
      <c r="D85" s="7" t="s">
        <v>319</v>
      </c>
      <c r="E85" s="7" t="s">
        <v>372</v>
      </c>
      <c r="F85" s="44">
        <v>-372111</v>
      </c>
    </row>
    <row r="86" spans="1:6" ht="12.75" hidden="1" customHeight="1">
      <c r="A86" s="7" t="s">
        <v>315</v>
      </c>
      <c r="B86" s="3">
        <v>47100</v>
      </c>
      <c r="C86" s="7" t="s">
        <v>366</v>
      </c>
      <c r="D86" s="7" t="s">
        <v>319</v>
      </c>
      <c r="E86" s="7" t="s">
        <v>373</v>
      </c>
      <c r="F86" s="44">
        <v>-50268</v>
      </c>
    </row>
    <row r="87" spans="1:6" ht="12.75" hidden="1" customHeight="1">
      <c r="A87" s="7" t="s">
        <v>315</v>
      </c>
      <c r="B87" s="3">
        <v>50750</v>
      </c>
      <c r="C87" s="7" t="s">
        <v>366</v>
      </c>
      <c r="D87" s="7" t="s">
        <v>317</v>
      </c>
      <c r="E87" s="7" t="s">
        <v>365</v>
      </c>
      <c r="F87" s="44">
        <v>1881</v>
      </c>
    </row>
    <row r="88" spans="1:6" ht="12.75" hidden="1" customHeight="1">
      <c r="A88" s="7" t="s">
        <v>315</v>
      </c>
      <c r="B88" s="3">
        <v>51112</v>
      </c>
      <c r="C88" s="7" t="s">
        <v>366</v>
      </c>
      <c r="D88" s="7" t="s">
        <v>317</v>
      </c>
      <c r="E88" s="7" t="s">
        <v>365</v>
      </c>
      <c r="F88" s="44">
        <v>1909.5</v>
      </c>
    </row>
    <row r="89" spans="1:6" ht="12.75" hidden="1" customHeight="1">
      <c r="A89" s="7" t="s">
        <v>315</v>
      </c>
      <c r="B89" s="3">
        <v>51250</v>
      </c>
      <c r="C89" s="7" t="s">
        <v>366</v>
      </c>
      <c r="D89" s="7" t="s">
        <v>317</v>
      </c>
      <c r="E89" s="7" t="s">
        <v>365</v>
      </c>
      <c r="F89" s="44">
        <v>2500</v>
      </c>
    </row>
    <row r="90" spans="1:6" ht="12.75" hidden="1" customHeight="1">
      <c r="A90" s="7" t="s">
        <v>315</v>
      </c>
      <c r="B90" s="3">
        <v>51290</v>
      </c>
      <c r="C90" s="7" t="s">
        <v>366</v>
      </c>
      <c r="D90" s="7" t="s">
        <v>319</v>
      </c>
      <c r="E90" s="7" t="s">
        <v>374</v>
      </c>
      <c r="F90" s="44">
        <v>644.53</v>
      </c>
    </row>
    <row r="91" spans="1:6" ht="12.75" hidden="1" customHeight="1">
      <c r="A91" s="7" t="s">
        <v>315</v>
      </c>
      <c r="B91" s="3">
        <v>51290</v>
      </c>
      <c r="C91" s="7" t="s">
        <v>366</v>
      </c>
      <c r="D91" s="7" t="s">
        <v>319</v>
      </c>
      <c r="E91" s="7" t="s">
        <v>375</v>
      </c>
      <c r="F91" s="44">
        <v>964.46</v>
      </c>
    </row>
    <row r="92" spans="1:6" ht="12.75" hidden="1" customHeight="1">
      <c r="A92" s="7" t="s">
        <v>315</v>
      </c>
      <c r="B92" s="3">
        <v>51290</v>
      </c>
      <c r="C92" s="7" t="s">
        <v>366</v>
      </c>
      <c r="D92" s="7" t="s">
        <v>319</v>
      </c>
      <c r="E92" s="7" t="s">
        <v>376</v>
      </c>
      <c r="F92" s="44">
        <v>3033.09</v>
      </c>
    </row>
    <row r="93" spans="1:6" ht="12.75" hidden="1" customHeight="1">
      <c r="A93" s="7" t="s">
        <v>315</v>
      </c>
      <c r="B93" s="3">
        <v>51290</v>
      </c>
      <c r="C93" s="7" t="s">
        <v>366</v>
      </c>
      <c r="D93" s="7" t="s">
        <v>319</v>
      </c>
      <c r="E93" s="7" t="s">
        <v>377</v>
      </c>
      <c r="F93" s="44">
        <v>-1292.21</v>
      </c>
    </row>
    <row r="94" spans="1:6" ht="12.75" hidden="1" customHeight="1">
      <c r="A94" s="7" t="s">
        <v>315</v>
      </c>
      <c r="B94" s="3">
        <v>51290</v>
      </c>
      <c r="C94" s="7" t="s">
        <v>366</v>
      </c>
      <c r="D94" s="7" t="s">
        <v>319</v>
      </c>
      <c r="E94" s="7" t="s">
        <v>378</v>
      </c>
      <c r="F94" s="44">
        <v>115721.33</v>
      </c>
    </row>
    <row r="95" spans="1:6" ht="12.75" hidden="1" customHeight="1">
      <c r="A95" s="7" t="s">
        <v>315</v>
      </c>
      <c r="B95" s="3">
        <v>51290</v>
      </c>
      <c r="C95" s="7" t="s">
        <v>366</v>
      </c>
      <c r="D95" s="7" t="s">
        <v>319</v>
      </c>
      <c r="E95" s="7" t="s">
        <v>379</v>
      </c>
      <c r="F95" s="44">
        <v>2998.32</v>
      </c>
    </row>
    <row r="96" spans="1:6" ht="12.75" hidden="1" customHeight="1">
      <c r="A96" s="7" t="s">
        <v>315</v>
      </c>
      <c r="B96" s="3">
        <v>51290</v>
      </c>
      <c r="C96" s="7" t="s">
        <v>366</v>
      </c>
      <c r="D96" s="7" t="s">
        <v>367</v>
      </c>
      <c r="E96" s="7" t="s">
        <v>380</v>
      </c>
      <c r="F96" s="44">
        <v>1479.26</v>
      </c>
    </row>
    <row r="97" spans="1:6" ht="12.75" hidden="1" customHeight="1">
      <c r="A97" s="7" t="s">
        <v>315</v>
      </c>
      <c r="B97" s="3">
        <v>51510</v>
      </c>
      <c r="C97" s="7" t="s">
        <v>366</v>
      </c>
      <c r="D97" s="7" t="s">
        <v>317</v>
      </c>
      <c r="E97" s="7" t="s">
        <v>365</v>
      </c>
      <c r="F97" s="44">
        <v>600</v>
      </c>
    </row>
    <row r="98" spans="1:6" ht="12.75" hidden="1" customHeight="1">
      <c r="A98" s="7" t="s">
        <v>315</v>
      </c>
      <c r="B98" s="3">
        <v>51620</v>
      </c>
      <c r="C98" s="7" t="s">
        <v>366</v>
      </c>
      <c r="D98" s="7" t="s">
        <v>317</v>
      </c>
      <c r="E98" s="7" t="s">
        <v>365</v>
      </c>
      <c r="F98" s="44">
        <v>19868.53</v>
      </c>
    </row>
    <row r="99" spans="1:6" ht="12.75" hidden="1" customHeight="1">
      <c r="A99" s="7" t="s">
        <v>315</v>
      </c>
      <c r="B99" s="3">
        <v>51620</v>
      </c>
      <c r="C99" s="7" t="s">
        <v>366</v>
      </c>
      <c r="D99" s="7" t="s">
        <v>319</v>
      </c>
      <c r="E99" s="7" t="s">
        <v>381</v>
      </c>
      <c r="F99" s="44">
        <v>545.23</v>
      </c>
    </row>
    <row r="100" spans="1:6" ht="12.75" hidden="1" customHeight="1">
      <c r="A100" s="7" t="s">
        <v>315</v>
      </c>
      <c r="B100" s="3">
        <v>51620</v>
      </c>
      <c r="C100" s="7" t="s">
        <v>366</v>
      </c>
      <c r="D100" s="7" t="s">
        <v>319</v>
      </c>
      <c r="E100" s="7" t="s">
        <v>375</v>
      </c>
      <c r="F100" s="44">
        <v>0</v>
      </c>
    </row>
    <row r="101" spans="1:6" ht="15" hidden="1" customHeight="1">
      <c r="A101" s="7" t="s">
        <v>315</v>
      </c>
      <c r="B101" s="3">
        <v>51620</v>
      </c>
      <c r="C101" s="7" t="s">
        <v>366</v>
      </c>
      <c r="D101" s="7" t="s">
        <v>319</v>
      </c>
      <c r="E101" s="7" t="s">
        <v>378</v>
      </c>
      <c r="F101" s="44">
        <v>9884.77</v>
      </c>
    </row>
    <row r="102" spans="1:6" ht="15" hidden="1" customHeight="1">
      <c r="A102" s="7" t="s">
        <v>315</v>
      </c>
      <c r="B102" s="3">
        <v>51620</v>
      </c>
      <c r="C102" s="7" t="s">
        <v>366</v>
      </c>
      <c r="D102" s="7" t="s">
        <v>319</v>
      </c>
      <c r="E102" s="7" t="s">
        <v>379</v>
      </c>
      <c r="F102" s="44">
        <v>2800</v>
      </c>
    </row>
    <row r="103" spans="1:6" ht="15" hidden="1" customHeight="1">
      <c r="A103" s="7" t="s">
        <v>315</v>
      </c>
      <c r="B103" s="3">
        <v>51640</v>
      </c>
      <c r="C103" s="7" t="s">
        <v>366</v>
      </c>
      <c r="D103" s="7" t="s">
        <v>317</v>
      </c>
      <c r="E103" s="7" t="s">
        <v>365</v>
      </c>
      <c r="F103" s="44">
        <v>7509</v>
      </c>
    </row>
    <row r="104" spans="1:6" ht="15" hidden="1" customHeight="1">
      <c r="A104" s="7" t="s">
        <v>315</v>
      </c>
      <c r="B104" s="3">
        <v>51672</v>
      </c>
      <c r="C104" s="7" t="s">
        <v>366</v>
      </c>
      <c r="D104" s="7" t="s">
        <v>317</v>
      </c>
      <c r="E104" s="7" t="s">
        <v>365</v>
      </c>
      <c r="F104" s="44">
        <v>513</v>
      </c>
    </row>
    <row r="105" spans="1:6" ht="15" hidden="1" customHeight="1">
      <c r="A105" s="7" t="s">
        <v>315</v>
      </c>
      <c r="B105" s="3">
        <v>51675</v>
      </c>
      <c r="C105" s="7" t="s">
        <v>366</v>
      </c>
      <c r="D105" s="7" t="s">
        <v>317</v>
      </c>
      <c r="E105" s="7" t="s">
        <v>365</v>
      </c>
      <c r="F105" s="44">
        <v>200</v>
      </c>
    </row>
    <row r="106" spans="1:6" ht="15" hidden="1" customHeight="1">
      <c r="A106" s="7" t="s">
        <v>315</v>
      </c>
      <c r="B106" s="3">
        <v>51694</v>
      </c>
      <c r="C106" s="7" t="s">
        <v>366</v>
      </c>
      <c r="D106" s="7" t="s">
        <v>317</v>
      </c>
      <c r="E106" s="7" t="s">
        <v>365</v>
      </c>
      <c r="F106" s="44">
        <v>29950</v>
      </c>
    </row>
    <row r="107" spans="1:6" ht="15" hidden="1" customHeight="1">
      <c r="A107" s="7" t="s">
        <v>315</v>
      </c>
      <c r="B107" s="3">
        <v>51695</v>
      </c>
      <c r="C107" s="7" t="s">
        <v>366</v>
      </c>
      <c r="D107" s="7" t="s">
        <v>367</v>
      </c>
      <c r="E107" s="7" t="s">
        <v>380</v>
      </c>
      <c r="F107" s="44">
        <v>11292.75</v>
      </c>
    </row>
    <row r="108" spans="1:6" ht="15" hidden="1" customHeight="1">
      <c r="A108" s="7" t="s">
        <v>315</v>
      </c>
      <c r="B108" s="3">
        <v>51761</v>
      </c>
      <c r="C108" s="7" t="s">
        <v>366</v>
      </c>
      <c r="D108" s="7" t="s">
        <v>317</v>
      </c>
      <c r="E108" s="7" t="s">
        <v>365</v>
      </c>
      <c r="F108" s="44">
        <v>35</v>
      </c>
    </row>
    <row r="109" spans="1:6" ht="15" hidden="1" customHeight="1">
      <c r="A109" s="7" t="s">
        <v>315</v>
      </c>
      <c r="B109" s="3">
        <v>51764</v>
      </c>
      <c r="C109" s="7" t="s">
        <v>366</v>
      </c>
      <c r="D109" s="7" t="s">
        <v>317</v>
      </c>
      <c r="E109" s="7" t="s">
        <v>365</v>
      </c>
      <c r="F109" s="44">
        <v>4399.01</v>
      </c>
    </row>
    <row r="110" spans="1:6" ht="15" hidden="1" customHeight="1">
      <c r="A110" s="7" t="s">
        <v>315</v>
      </c>
      <c r="B110" s="3">
        <v>51780</v>
      </c>
      <c r="C110" s="7" t="s">
        <v>366</v>
      </c>
      <c r="D110" s="7" t="s">
        <v>317</v>
      </c>
      <c r="E110" s="7" t="s">
        <v>365</v>
      </c>
      <c r="F110" s="44">
        <v>73760</v>
      </c>
    </row>
    <row r="111" spans="1:6" ht="15" hidden="1" customHeight="1">
      <c r="A111" s="7" t="s">
        <v>315</v>
      </c>
      <c r="B111" s="3">
        <v>51981</v>
      </c>
      <c r="C111" s="7" t="s">
        <v>366</v>
      </c>
      <c r="D111" s="7" t="s">
        <v>317</v>
      </c>
      <c r="E111" s="7" t="s">
        <v>365</v>
      </c>
      <c r="F111" s="44">
        <v>84</v>
      </c>
    </row>
    <row r="112" spans="1:6" ht="15" hidden="1" customHeight="1">
      <c r="A112" s="7" t="s">
        <v>315</v>
      </c>
      <c r="B112" s="3">
        <v>52511</v>
      </c>
      <c r="C112" s="7" t="s">
        <v>366</v>
      </c>
      <c r="D112" s="7" t="s">
        <v>317</v>
      </c>
      <c r="E112" s="7" t="s">
        <v>365</v>
      </c>
      <c r="F112" s="44">
        <v>3105</v>
      </c>
    </row>
    <row r="113" spans="1:6" ht="15" hidden="1" customHeight="1">
      <c r="A113" s="7" t="s">
        <v>315</v>
      </c>
      <c r="B113" s="3">
        <v>52541</v>
      </c>
      <c r="C113" s="7" t="s">
        <v>366</v>
      </c>
      <c r="D113" s="7" t="s">
        <v>317</v>
      </c>
      <c r="E113" s="7" t="s">
        <v>382</v>
      </c>
      <c r="F113" s="44">
        <v>1500</v>
      </c>
    </row>
    <row r="114" spans="1:6" ht="15" hidden="1" customHeight="1">
      <c r="A114" s="7" t="s">
        <v>315</v>
      </c>
      <c r="B114" s="3">
        <v>53011</v>
      </c>
      <c r="C114" s="7" t="s">
        <v>366</v>
      </c>
      <c r="D114" s="7" t="s">
        <v>317</v>
      </c>
      <c r="E114" s="7" t="s">
        <v>365</v>
      </c>
      <c r="F114" s="44">
        <v>6346</v>
      </c>
    </row>
    <row r="115" spans="1:6" ht="15" hidden="1" customHeight="1">
      <c r="A115" s="7" t="s">
        <v>315</v>
      </c>
      <c r="B115" s="3">
        <v>53017</v>
      </c>
      <c r="C115" s="7" t="s">
        <v>366</v>
      </c>
      <c r="D115" s="7" t="s">
        <v>317</v>
      </c>
      <c r="E115" s="7" t="s">
        <v>365</v>
      </c>
      <c r="F115" s="44">
        <v>7762.32</v>
      </c>
    </row>
    <row r="116" spans="1:6" ht="15" hidden="1" customHeight="1">
      <c r="A116" s="7" t="s">
        <v>315</v>
      </c>
      <c r="B116" s="3">
        <v>53018</v>
      </c>
      <c r="C116" s="7" t="s">
        <v>366</v>
      </c>
      <c r="D116" s="7" t="s">
        <v>317</v>
      </c>
      <c r="E116" s="7" t="s">
        <v>365</v>
      </c>
      <c r="F116" s="44">
        <v>1878.57</v>
      </c>
    </row>
    <row r="117" spans="1:6" ht="15" hidden="1" customHeight="1">
      <c r="A117" s="7" t="s">
        <v>315</v>
      </c>
      <c r="B117" s="3">
        <v>53020</v>
      </c>
      <c r="C117" s="7" t="s">
        <v>366</v>
      </c>
      <c r="D117" s="7" t="s">
        <v>317</v>
      </c>
      <c r="E117" s="7" t="s">
        <v>365</v>
      </c>
      <c r="F117" s="44">
        <v>13900.98</v>
      </c>
    </row>
    <row r="118" spans="1:6" ht="15" hidden="1" customHeight="1">
      <c r="A118" s="7" t="s">
        <v>315</v>
      </c>
      <c r="B118" s="3">
        <v>53021</v>
      </c>
      <c r="C118" s="7" t="s">
        <v>366</v>
      </c>
      <c r="D118" s="7" t="s">
        <v>317</v>
      </c>
      <c r="E118" s="7" t="s">
        <v>365</v>
      </c>
      <c r="F118" s="44">
        <v>300</v>
      </c>
    </row>
    <row r="119" spans="1:6" ht="15" hidden="1" customHeight="1">
      <c r="A119" s="7" t="s">
        <v>315</v>
      </c>
      <c r="B119" s="3">
        <v>53401</v>
      </c>
      <c r="C119" s="7" t="s">
        <v>366</v>
      </c>
      <c r="D119" s="7" t="s">
        <v>317</v>
      </c>
      <c r="E119" s="7" t="s">
        <v>365</v>
      </c>
      <c r="F119" s="44">
        <v>50.4</v>
      </c>
    </row>
    <row r="120" spans="1:6" ht="15" hidden="1" customHeight="1">
      <c r="A120" s="7" t="s">
        <v>315</v>
      </c>
      <c r="B120" s="3">
        <v>53755</v>
      </c>
      <c r="C120" s="7" t="s">
        <v>366</v>
      </c>
      <c r="D120" s="7" t="s">
        <v>319</v>
      </c>
      <c r="E120" s="7" t="s">
        <v>381</v>
      </c>
      <c r="F120" s="44">
        <v>4105</v>
      </c>
    </row>
    <row r="121" spans="1:6" ht="15" hidden="1" customHeight="1">
      <c r="A121" s="7" t="s">
        <v>315</v>
      </c>
      <c r="B121" s="3">
        <v>53755</v>
      </c>
      <c r="C121" s="7" t="s">
        <v>366</v>
      </c>
      <c r="D121" s="7" t="s">
        <v>319</v>
      </c>
      <c r="E121" s="7" t="s">
        <v>374</v>
      </c>
      <c r="F121" s="44">
        <v>1559.61</v>
      </c>
    </row>
    <row r="122" spans="1:6" ht="15" hidden="1" customHeight="1">
      <c r="A122" s="7" t="s">
        <v>315</v>
      </c>
      <c r="B122" s="3">
        <v>54060</v>
      </c>
      <c r="C122" s="7" t="s">
        <v>366</v>
      </c>
      <c r="D122" s="7" t="s">
        <v>317</v>
      </c>
      <c r="E122" s="7" t="s">
        <v>365</v>
      </c>
      <c r="F122" s="44">
        <v>1863.65</v>
      </c>
    </row>
    <row r="123" spans="1:6" ht="15" hidden="1" customHeight="1">
      <c r="A123" s="7" t="s">
        <v>315</v>
      </c>
      <c r="B123" s="3">
        <v>54060</v>
      </c>
      <c r="C123" s="7" t="s">
        <v>366</v>
      </c>
      <c r="D123" s="7" t="s">
        <v>319</v>
      </c>
      <c r="E123" s="7" t="s">
        <v>378</v>
      </c>
      <c r="F123" s="44">
        <v>457.35</v>
      </c>
    </row>
    <row r="124" spans="1:6" ht="15" hidden="1" customHeight="1">
      <c r="A124" s="7" t="s">
        <v>315</v>
      </c>
      <c r="B124" s="3">
        <v>54150</v>
      </c>
      <c r="C124" s="7" t="s">
        <v>366</v>
      </c>
      <c r="D124" s="7" t="s">
        <v>319</v>
      </c>
      <c r="E124" s="7" t="s">
        <v>381</v>
      </c>
      <c r="F124" s="44">
        <v>1590</v>
      </c>
    </row>
    <row r="125" spans="1:6" ht="15" hidden="1" customHeight="1">
      <c r="A125" s="7" t="s">
        <v>315</v>
      </c>
      <c r="B125" s="3">
        <v>54190</v>
      </c>
      <c r="C125" s="7" t="s">
        <v>366</v>
      </c>
      <c r="D125" s="7" t="s">
        <v>317</v>
      </c>
      <c r="E125" s="7" t="s">
        <v>365</v>
      </c>
      <c r="F125" s="44">
        <v>1755.97</v>
      </c>
    </row>
    <row r="126" spans="1:6" ht="15" hidden="1" customHeight="1">
      <c r="A126" s="7" t="s">
        <v>315</v>
      </c>
      <c r="B126" s="3">
        <v>54190</v>
      </c>
      <c r="C126" s="7" t="s">
        <v>366</v>
      </c>
      <c r="D126" s="7" t="s">
        <v>319</v>
      </c>
      <c r="E126" s="7" t="s">
        <v>377</v>
      </c>
      <c r="F126" s="44">
        <v>3608.28</v>
      </c>
    </row>
    <row r="127" spans="1:6" ht="15" hidden="1" customHeight="1">
      <c r="A127" s="7" t="s">
        <v>315</v>
      </c>
      <c r="B127" s="3">
        <v>54190</v>
      </c>
      <c r="C127" s="7" t="s">
        <v>366</v>
      </c>
      <c r="D127" s="7" t="s">
        <v>319</v>
      </c>
      <c r="E127" s="7" t="s">
        <v>378</v>
      </c>
      <c r="F127" s="44">
        <v>161.80000000000001</v>
      </c>
    </row>
    <row r="128" spans="1:6" ht="15" hidden="1" customHeight="1">
      <c r="A128" s="7" t="s">
        <v>315</v>
      </c>
      <c r="B128" s="3">
        <v>44410</v>
      </c>
      <c r="C128" s="7" t="s">
        <v>383</v>
      </c>
      <c r="D128" s="7" t="s">
        <v>317</v>
      </c>
      <c r="E128" s="7" t="s">
        <v>318</v>
      </c>
      <c r="F128" s="44">
        <v>-15.96</v>
      </c>
    </row>
    <row r="129" spans="1:6" ht="15" hidden="1" customHeight="1">
      <c r="A129" s="7" t="s">
        <v>315</v>
      </c>
      <c r="B129" s="3">
        <v>50110</v>
      </c>
      <c r="C129" s="7" t="s">
        <v>383</v>
      </c>
      <c r="D129" s="7" t="s">
        <v>317</v>
      </c>
      <c r="E129" s="7" t="s">
        <v>364</v>
      </c>
      <c r="F129" s="44">
        <v>1284746.51</v>
      </c>
    </row>
    <row r="130" spans="1:6" ht="15" hidden="1" customHeight="1">
      <c r="A130" s="7" t="s">
        <v>315</v>
      </c>
      <c r="B130" s="3">
        <v>50110</v>
      </c>
      <c r="C130" s="7" t="s">
        <v>383</v>
      </c>
      <c r="D130" s="7" t="s">
        <v>319</v>
      </c>
      <c r="E130" s="7" t="s">
        <v>370</v>
      </c>
      <c r="F130" s="44">
        <v>49407.69</v>
      </c>
    </row>
    <row r="131" spans="1:6" ht="15" hidden="1" customHeight="1">
      <c r="A131" s="7" t="s">
        <v>315</v>
      </c>
      <c r="B131" s="3">
        <v>50110</v>
      </c>
      <c r="C131" s="7" t="s">
        <v>383</v>
      </c>
      <c r="D131" s="7" t="s">
        <v>319</v>
      </c>
      <c r="E131" s="7" t="s">
        <v>371</v>
      </c>
      <c r="F131" s="44">
        <v>29188.87</v>
      </c>
    </row>
    <row r="132" spans="1:6" ht="15" hidden="1" customHeight="1">
      <c r="A132" s="7" t="s">
        <v>315</v>
      </c>
      <c r="B132" s="3">
        <v>50150</v>
      </c>
      <c r="C132" s="7" t="s">
        <v>383</v>
      </c>
      <c r="D132" s="7" t="s">
        <v>317</v>
      </c>
      <c r="E132" s="7" t="s">
        <v>364</v>
      </c>
      <c r="F132" s="44">
        <v>41208.769999999997</v>
      </c>
    </row>
    <row r="133" spans="1:6" ht="15" hidden="1" customHeight="1">
      <c r="A133" s="7" t="s">
        <v>315</v>
      </c>
      <c r="B133" s="3">
        <v>50150</v>
      </c>
      <c r="C133" s="7" t="s">
        <v>383</v>
      </c>
      <c r="D133" s="7" t="s">
        <v>319</v>
      </c>
      <c r="E133" s="7" t="s">
        <v>378</v>
      </c>
      <c r="F133" s="44">
        <v>0</v>
      </c>
    </row>
    <row r="134" spans="1:6" ht="15" hidden="1" customHeight="1">
      <c r="A134" s="7" t="s">
        <v>315</v>
      </c>
      <c r="B134" s="3">
        <v>50160</v>
      </c>
      <c r="C134" s="7" t="s">
        <v>383</v>
      </c>
      <c r="D134" s="7" t="s">
        <v>317</v>
      </c>
      <c r="E134" s="7" t="s">
        <v>364</v>
      </c>
      <c r="F134" s="44">
        <v>3657.98</v>
      </c>
    </row>
    <row r="135" spans="1:6" ht="15" hidden="1" customHeight="1">
      <c r="A135" s="7" t="s">
        <v>315</v>
      </c>
      <c r="B135" s="3">
        <v>50410</v>
      </c>
      <c r="C135" s="7" t="s">
        <v>383</v>
      </c>
      <c r="D135" s="7" t="s">
        <v>317</v>
      </c>
      <c r="E135" s="7" t="s">
        <v>364</v>
      </c>
      <c r="F135" s="44">
        <v>0</v>
      </c>
    </row>
    <row r="136" spans="1:6" ht="15" hidden="1" customHeight="1">
      <c r="A136" s="7" t="s">
        <v>315</v>
      </c>
      <c r="B136" s="3">
        <v>50410</v>
      </c>
      <c r="C136" s="7" t="s">
        <v>383</v>
      </c>
      <c r="D136" s="7" t="s">
        <v>319</v>
      </c>
      <c r="E136" s="7" t="s">
        <v>371</v>
      </c>
      <c r="F136" s="44">
        <v>33.950000000000003</v>
      </c>
    </row>
    <row r="137" spans="1:6" ht="15" hidden="1" customHeight="1">
      <c r="A137" s="7" t="s">
        <v>315</v>
      </c>
      <c r="B137" s="3">
        <v>50420</v>
      </c>
      <c r="C137" s="7" t="s">
        <v>383</v>
      </c>
      <c r="D137" s="7" t="s">
        <v>317</v>
      </c>
      <c r="E137" s="7" t="s">
        <v>364</v>
      </c>
      <c r="F137" s="44">
        <v>0</v>
      </c>
    </row>
    <row r="138" spans="1:6" ht="15" hidden="1" customHeight="1">
      <c r="A138" s="7" t="s">
        <v>315</v>
      </c>
      <c r="B138" s="3">
        <v>50420</v>
      </c>
      <c r="C138" s="7" t="s">
        <v>383</v>
      </c>
      <c r="D138" s="7" t="s">
        <v>319</v>
      </c>
      <c r="E138" s="7" t="s">
        <v>378</v>
      </c>
      <c r="F138" s="44">
        <v>0</v>
      </c>
    </row>
    <row r="139" spans="1:6" ht="15" hidden="1" customHeight="1">
      <c r="A139" s="7" t="s">
        <v>315</v>
      </c>
      <c r="B139" s="3">
        <v>50420</v>
      </c>
      <c r="C139" s="7" t="s">
        <v>383</v>
      </c>
      <c r="D139" s="7" t="s">
        <v>319</v>
      </c>
      <c r="E139" s="7" t="s">
        <v>370</v>
      </c>
      <c r="F139" s="44">
        <v>10028.76</v>
      </c>
    </row>
    <row r="140" spans="1:6" ht="15" hidden="1" customHeight="1">
      <c r="A140" s="7" t="s">
        <v>315</v>
      </c>
      <c r="B140" s="3">
        <v>50420</v>
      </c>
      <c r="C140" s="7" t="s">
        <v>383</v>
      </c>
      <c r="D140" s="7" t="s">
        <v>319</v>
      </c>
      <c r="E140" s="7" t="s">
        <v>371</v>
      </c>
      <c r="F140" s="44">
        <v>3819.27</v>
      </c>
    </row>
    <row r="141" spans="1:6" ht="15" hidden="1" customHeight="1">
      <c r="A141" s="7" t="s">
        <v>315</v>
      </c>
      <c r="B141" s="3">
        <v>50430</v>
      </c>
      <c r="C141" s="7" t="s">
        <v>383</v>
      </c>
      <c r="D141" s="7" t="s">
        <v>317</v>
      </c>
      <c r="E141" s="7" t="s">
        <v>364</v>
      </c>
      <c r="F141" s="44">
        <v>0</v>
      </c>
    </row>
    <row r="142" spans="1:6" ht="15" hidden="1" customHeight="1">
      <c r="A142" s="7" t="s">
        <v>315</v>
      </c>
      <c r="B142" s="3">
        <v>50430</v>
      </c>
      <c r="C142" s="7" t="s">
        <v>383</v>
      </c>
      <c r="D142" s="7" t="s">
        <v>319</v>
      </c>
      <c r="E142" s="7" t="s">
        <v>378</v>
      </c>
      <c r="F142" s="44">
        <v>0</v>
      </c>
    </row>
    <row r="143" spans="1:6" ht="15" hidden="1" customHeight="1">
      <c r="A143" s="7" t="s">
        <v>315</v>
      </c>
      <c r="B143" s="3">
        <v>50430</v>
      </c>
      <c r="C143" s="7" t="s">
        <v>383</v>
      </c>
      <c r="D143" s="7" t="s">
        <v>319</v>
      </c>
      <c r="E143" s="7" t="s">
        <v>370</v>
      </c>
      <c r="F143" s="44">
        <v>143.07</v>
      </c>
    </row>
    <row r="144" spans="1:6" ht="15" hidden="1" customHeight="1">
      <c r="A144" s="7" t="s">
        <v>315</v>
      </c>
      <c r="B144" s="3">
        <v>50430</v>
      </c>
      <c r="C144" s="7" t="s">
        <v>383</v>
      </c>
      <c r="D144" s="7" t="s">
        <v>319</v>
      </c>
      <c r="E144" s="7" t="s">
        <v>371</v>
      </c>
      <c r="F144" s="44">
        <v>83.82</v>
      </c>
    </row>
    <row r="145" spans="1:6" ht="15" hidden="1" customHeight="1">
      <c r="A145" s="7" t="s">
        <v>315</v>
      </c>
      <c r="B145" s="3">
        <v>50441</v>
      </c>
      <c r="C145" s="7" t="s">
        <v>383</v>
      </c>
      <c r="D145" s="7" t="s">
        <v>317</v>
      </c>
      <c r="E145" s="7" t="s">
        <v>364</v>
      </c>
      <c r="F145" s="44">
        <v>0</v>
      </c>
    </row>
    <row r="146" spans="1:6" ht="15" hidden="1" customHeight="1">
      <c r="A146" s="7" t="s">
        <v>315</v>
      </c>
      <c r="B146" s="3">
        <v>50441</v>
      </c>
      <c r="C146" s="7" t="s">
        <v>383</v>
      </c>
      <c r="D146" s="7" t="s">
        <v>319</v>
      </c>
      <c r="E146" s="7" t="s">
        <v>378</v>
      </c>
      <c r="F146" s="44">
        <v>0</v>
      </c>
    </row>
    <row r="147" spans="1:6" ht="15" hidden="1" customHeight="1">
      <c r="A147" s="7" t="s">
        <v>315</v>
      </c>
      <c r="B147" s="3">
        <v>50441</v>
      </c>
      <c r="C147" s="7" t="s">
        <v>383</v>
      </c>
      <c r="D147" s="7" t="s">
        <v>319</v>
      </c>
      <c r="E147" s="7" t="s">
        <v>370</v>
      </c>
      <c r="F147" s="44">
        <v>1437.94</v>
      </c>
    </row>
    <row r="148" spans="1:6" ht="15" hidden="1" customHeight="1">
      <c r="A148" s="7" t="s">
        <v>315</v>
      </c>
      <c r="B148" s="3">
        <v>50441</v>
      </c>
      <c r="C148" s="7" t="s">
        <v>383</v>
      </c>
      <c r="D148" s="7" t="s">
        <v>319</v>
      </c>
      <c r="E148" s="7" t="s">
        <v>371</v>
      </c>
      <c r="F148" s="44">
        <v>1767.39</v>
      </c>
    </row>
    <row r="149" spans="1:6" ht="15" hidden="1" customHeight="1">
      <c r="A149" s="7" t="s">
        <v>315</v>
      </c>
      <c r="B149" s="3">
        <v>50442</v>
      </c>
      <c r="C149" s="7" t="s">
        <v>383</v>
      </c>
      <c r="D149" s="7" t="s">
        <v>317</v>
      </c>
      <c r="E149" s="7" t="s">
        <v>364</v>
      </c>
      <c r="F149" s="44">
        <v>0</v>
      </c>
    </row>
    <row r="150" spans="1:6" ht="15" hidden="1" customHeight="1">
      <c r="A150" s="7" t="s">
        <v>315</v>
      </c>
      <c r="B150" s="3">
        <v>50442</v>
      </c>
      <c r="C150" s="7" t="s">
        <v>383</v>
      </c>
      <c r="D150" s="7" t="s">
        <v>319</v>
      </c>
      <c r="E150" s="7" t="s">
        <v>378</v>
      </c>
      <c r="F150" s="44">
        <v>0</v>
      </c>
    </row>
    <row r="151" spans="1:6" ht="15" hidden="1" customHeight="1">
      <c r="A151" s="7" t="s">
        <v>315</v>
      </c>
      <c r="B151" s="3">
        <v>50442</v>
      </c>
      <c r="C151" s="7" t="s">
        <v>383</v>
      </c>
      <c r="D151" s="7" t="s">
        <v>319</v>
      </c>
      <c r="E151" s="7" t="s">
        <v>370</v>
      </c>
      <c r="F151" s="44">
        <v>714.18</v>
      </c>
    </row>
    <row r="152" spans="1:6" ht="15" hidden="1" customHeight="1">
      <c r="A152" s="7" t="s">
        <v>315</v>
      </c>
      <c r="B152" s="3">
        <v>50442</v>
      </c>
      <c r="C152" s="7" t="s">
        <v>383</v>
      </c>
      <c r="D152" s="7" t="s">
        <v>319</v>
      </c>
      <c r="E152" s="7" t="s">
        <v>371</v>
      </c>
      <c r="F152" s="44">
        <v>413.34</v>
      </c>
    </row>
    <row r="153" spans="1:6" ht="15" hidden="1" customHeight="1">
      <c r="A153" s="7" t="s">
        <v>315</v>
      </c>
      <c r="B153" s="3">
        <v>50471</v>
      </c>
      <c r="C153" s="7" t="s">
        <v>383</v>
      </c>
      <c r="D153" s="7" t="s">
        <v>317</v>
      </c>
      <c r="E153" s="7" t="s">
        <v>364</v>
      </c>
      <c r="F153" s="44">
        <v>0</v>
      </c>
    </row>
    <row r="154" spans="1:6" ht="15" hidden="1" customHeight="1">
      <c r="A154" s="7" t="s">
        <v>315</v>
      </c>
      <c r="B154" s="3">
        <v>50471</v>
      </c>
      <c r="C154" s="7" t="s">
        <v>383</v>
      </c>
      <c r="D154" s="7" t="s">
        <v>319</v>
      </c>
      <c r="E154" s="7" t="s">
        <v>378</v>
      </c>
      <c r="F154" s="44">
        <v>0</v>
      </c>
    </row>
    <row r="155" spans="1:6" ht="15" hidden="1" customHeight="1">
      <c r="A155" s="7" t="s">
        <v>315</v>
      </c>
      <c r="B155" s="3">
        <v>50471</v>
      </c>
      <c r="C155" s="7" t="s">
        <v>383</v>
      </c>
      <c r="D155" s="7" t="s">
        <v>319</v>
      </c>
      <c r="E155" s="7" t="s">
        <v>370</v>
      </c>
      <c r="F155" s="44">
        <v>9593.92</v>
      </c>
    </row>
    <row r="156" spans="1:6" ht="15" hidden="1" customHeight="1">
      <c r="A156" s="7" t="s">
        <v>315</v>
      </c>
      <c r="B156" s="3">
        <v>50471</v>
      </c>
      <c r="C156" s="7" t="s">
        <v>383</v>
      </c>
      <c r="D156" s="7" t="s">
        <v>319</v>
      </c>
      <c r="E156" s="7" t="s">
        <v>371</v>
      </c>
      <c r="F156" s="44">
        <v>11631.75</v>
      </c>
    </row>
    <row r="157" spans="1:6" ht="15" hidden="1" customHeight="1">
      <c r="A157" s="7" t="s">
        <v>315</v>
      </c>
      <c r="B157" s="3">
        <v>50473</v>
      </c>
      <c r="C157" s="7" t="s">
        <v>383</v>
      </c>
      <c r="D157" s="7" t="s">
        <v>317</v>
      </c>
      <c r="E157" s="7" t="s">
        <v>364</v>
      </c>
      <c r="F157" s="44">
        <v>0</v>
      </c>
    </row>
    <row r="158" spans="1:6" ht="15" hidden="1" customHeight="1">
      <c r="A158" s="7" t="s">
        <v>315</v>
      </c>
      <c r="B158" s="3">
        <v>50473</v>
      </c>
      <c r="C158" s="7" t="s">
        <v>383</v>
      </c>
      <c r="D158" s="7" t="s">
        <v>319</v>
      </c>
      <c r="E158" s="7" t="s">
        <v>370</v>
      </c>
      <c r="F158" s="44">
        <v>6549.76</v>
      </c>
    </row>
    <row r="159" spans="1:6" ht="15" hidden="1" customHeight="1">
      <c r="A159" s="7" t="s">
        <v>315</v>
      </c>
      <c r="B159" s="3">
        <v>50710</v>
      </c>
      <c r="C159" s="7" t="s">
        <v>383</v>
      </c>
      <c r="D159" s="7" t="s">
        <v>317</v>
      </c>
      <c r="E159" s="7" t="s">
        <v>364</v>
      </c>
      <c r="F159" s="44">
        <v>0</v>
      </c>
    </row>
    <row r="160" spans="1:6" ht="15" hidden="1" customHeight="1">
      <c r="A160" s="7" t="s">
        <v>315</v>
      </c>
      <c r="B160" s="3">
        <v>50710</v>
      </c>
      <c r="C160" s="7" t="s">
        <v>383</v>
      </c>
      <c r="D160" s="7" t="s">
        <v>317</v>
      </c>
      <c r="E160" s="7" t="s">
        <v>365</v>
      </c>
      <c r="F160" s="44">
        <v>635.5</v>
      </c>
    </row>
    <row r="161" spans="1:6" ht="15" hidden="1" customHeight="1">
      <c r="A161" s="7" t="s">
        <v>315</v>
      </c>
      <c r="B161" s="3">
        <v>50710</v>
      </c>
      <c r="C161" s="7" t="s">
        <v>383</v>
      </c>
      <c r="D161" s="7" t="s">
        <v>319</v>
      </c>
      <c r="E161" s="7" t="s">
        <v>370</v>
      </c>
      <c r="F161" s="44">
        <v>54</v>
      </c>
    </row>
    <row r="162" spans="1:6" ht="15" hidden="1" customHeight="1">
      <c r="A162" s="7" t="s">
        <v>315</v>
      </c>
      <c r="B162" s="3">
        <v>50780</v>
      </c>
      <c r="C162" s="7" t="s">
        <v>383</v>
      </c>
      <c r="D162" s="7" t="s">
        <v>317</v>
      </c>
      <c r="E162" s="7" t="s">
        <v>364</v>
      </c>
      <c r="F162" s="44">
        <v>0</v>
      </c>
    </row>
    <row r="163" spans="1:6" ht="15" hidden="1" customHeight="1">
      <c r="A163" s="7" t="s">
        <v>315</v>
      </c>
      <c r="B163" s="3">
        <v>50780</v>
      </c>
      <c r="C163" s="7" t="s">
        <v>383</v>
      </c>
      <c r="D163" s="7" t="s">
        <v>317</v>
      </c>
      <c r="E163" s="7" t="s">
        <v>365</v>
      </c>
      <c r="F163" s="44">
        <v>5</v>
      </c>
    </row>
    <row r="164" spans="1:6" ht="15" hidden="1" customHeight="1">
      <c r="A164" s="7" t="s">
        <v>315</v>
      </c>
      <c r="B164" s="3">
        <v>50800</v>
      </c>
      <c r="C164" s="7" t="s">
        <v>383</v>
      </c>
      <c r="D164" s="7" t="s">
        <v>317</v>
      </c>
      <c r="E164" s="7" t="s">
        <v>364</v>
      </c>
      <c r="F164" s="44">
        <v>1342.55</v>
      </c>
    </row>
    <row r="165" spans="1:6" ht="15" hidden="1" customHeight="1">
      <c r="A165" s="7" t="s">
        <v>315</v>
      </c>
      <c r="B165" s="3">
        <v>50800</v>
      </c>
      <c r="C165" s="7" t="s">
        <v>383</v>
      </c>
      <c r="D165" s="7" t="s">
        <v>317</v>
      </c>
      <c r="E165" s="7" t="s">
        <v>365</v>
      </c>
      <c r="F165" s="44">
        <v>7522.35</v>
      </c>
    </row>
    <row r="166" spans="1:6" ht="15" hidden="1" customHeight="1">
      <c r="A166" s="7" t="s">
        <v>315</v>
      </c>
      <c r="B166" s="3">
        <v>50800</v>
      </c>
      <c r="C166" s="7" t="s">
        <v>383</v>
      </c>
      <c r="D166" s="7" t="s">
        <v>319</v>
      </c>
      <c r="E166" s="7" t="s">
        <v>370</v>
      </c>
      <c r="F166" s="44">
        <v>654.5</v>
      </c>
    </row>
    <row r="167" spans="1:6" ht="15" hidden="1" customHeight="1">
      <c r="A167" s="7" t="s">
        <v>315</v>
      </c>
      <c r="B167" s="3">
        <v>50800</v>
      </c>
      <c r="C167" s="7" t="s">
        <v>383</v>
      </c>
      <c r="D167" s="7" t="s">
        <v>319</v>
      </c>
      <c r="E167" s="7" t="s">
        <v>371</v>
      </c>
      <c r="F167" s="44">
        <v>109.45</v>
      </c>
    </row>
    <row r="168" spans="1:6" ht="15" hidden="1" customHeight="1">
      <c r="A168" s="7" t="s">
        <v>315</v>
      </c>
      <c r="B168" s="3">
        <v>51290</v>
      </c>
      <c r="C168" s="7" t="s">
        <v>383</v>
      </c>
      <c r="D168" s="7" t="s">
        <v>317</v>
      </c>
      <c r="E168" s="7" t="s">
        <v>365</v>
      </c>
      <c r="F168" s="44">
        <v>4330</v>
      </c>
    </row>
    <row r="169" spans="1:6" ht="15" hidden="1" customHeight="1">
      <c r="A169" s="7" t="s">
        <v>315</v>
      </c>
      <c r="B169" s="3">
        <v>51570</v>
      </c>
      <c r="C169" s="7" t="s">
        <v>383</v>
      </c>
      <c r="D169" s="7" t="s">
        <v>317</v>
      </c>
      <c r="E169" s="7" t="s">
        <v>365</v>
      </c>
      <c r="F169" s="44">
        <v>538.75</v>
      </c>
    </row>
    <row r="170" spans="1:6" ht="15" hidden="1" customHeight="1">
      <c r="A170" s="7" t="s">
        <v>315</v>
      </c>
      <c r="B170" s="3">
        <v>54130</v>
      </c>
      <c r="C170" s="7" t="s">
        <v>383</v>
      </c>
      <c r="D170" s="7" t="s">
        <v>367</v>
      </c>
      <c r="E170" s="7" t="s">
        <v>368</v>
      </c>
      <c r="F170" s="44">
        <v>513.48</v>
      </c>
    </row>
    <row r="171" spans="1:6" ht="15" hidden="1" customHeight="1">
      <c r="A171" s="7" t="s">
        <v>315</v>
      </c>
      <c r="B171" s="3">
        <v>45020</v>
      </c>
      <c r="C171" s="7" t="s">
        <v>384</v>
      </c>
      <c r="D171" s="7" t="s">
        <v>319</v>
      </c>
      <c r="E171" s="7" t="s">
        <v>385</v>
      </c>
      <c r="F171" s="44">
        <v>-65</v>
      </c>
    </row>
    <row r="172" spans="1:6" ht="15" hidden="1" customHeight="1">
      <c r="A172" s="7" t="s">
        <v>315</v>
      </c>
      <c r="B172" s="3">
        <v>53755</v>
      </c>
      <c r="C172" s="7" t="s">
        <v>386</v>
      </c>
      <c r="D172" s="7" t="s">
        <v>317</v>
      </c>
      <c r="E172" s="7" t="s">
        <v>365</v>
      </c>
      <c r="F172" s="44">
        <v>863.91</v>
      </c>
    </row>
    <row r="173" spans="1:6" ht="15" hidden="1" customHeight="1">
      <c r="A173" s="7" t="s">
        <v>315</v>
      </c>
      <c r="B173" s="3">
        <v>53760</v>
      </c>
      <c r="C173" s="7" t="s">
        <v>386</v>
      </c>
      <c r="D173" s="7" t="s">
        <v>317</v>
      </c>
      <c r="E173" s="7" t="s">
        <v>365</v>
      </c>
      <c r="F173" s="44">
        <v>9117</v>
      </c>
    </row>
    <row r="174" spans="1:6" ht="15" hidden="1" customHeight="1">
      <c r="A174" s="7" t="s">
        <v>315</v>
      </c>
      <c r="B174" s="3">
        <v>51761</v>
      </c>
      <c r="C174" s="7" t="s">
        <v>387</v>
      </c>
      <c r="D174" s="7" t="s">
        <v>317</v>
      </c>
      <c r="E174" s="7" t="s">
        <v>365</v>
      </c>
      <c r="F174" s="44">
        <v>1288.6400000000001</v>
      </c>
    </row>
    <row r="175" spans="1:6" ht="15" hidden="1" customHeight="1">
      <c r="A175" s="7" t="s">
        <v>315</v>
      </c>
      <c r="B175" s="3">
        <v>53820</v>
      </c>
      <c r="C175" s="7" t="s">
        <v>387</v>
      </c>
      <c r="D175" s="7" t="s">
        <v>317</v>
      </c>
      <c r="E175" s="7" t="s">
        <v>365</v>
      </c>
      <c r="F175" s="44">
        <v>1960.27</v>
      </c>
    </row>
    <row r="176" spans="1:6" ht="15" hidden="1" customHeight="1">
      <c r="A176" s="7" t="s">
        <v>315</v>
      </c>
      <c r="B176" s="3">
        <v>53870</v>
      </c>
      <c r="C176" s="7" t="s">
        <v>387</v>
      </c>
      <c r="D176" s="7" t="s">
        <v>317</v>
      </c>
      <c r="E176" s="7" t="s">
        <v>365</v>
      </c>
      <c r="F176" s="44">
        <v>1245.67</v>
      </c>
    </row>
    <row r="177" spans="1:6" ht="15" hidden="1" customHeight="1">
      <c r="A177" s="7" t="s">
        <v>315</v>
      </c>
      <c r="B177" s="3">
        <v>43511</v>
      </c>
      <c r="C177" s="7" t="s">
        <v>388</v>
      </c>
      <c r="D177" s="7" t="s">
        <v>367</v>
      </c>
      <c r="E177" s="7" t="s">
        <v>380</v>
      </c>
      <c r="F177" s="44">
        <v>-2667</v>
      </c>
    </row>
    <row r="178" spans="1:6" ht="15" hidden="1" customHeight="1">
      <c r="A178" s="7" t="s">
        <v>315</v>
      </c>
      <c r="B178" s="3">
        <v>44092</v>
      </c>
      <c r="C178" s="7" t="s">
        <v>388</v>
      </c>
      <c r="D178" s="7" t="s">
        <v>367</v>
      </c>
      <c r="E178" s="7" t="s">
        <v>368</v>
      </c>
      <c r="F178" s="44">
        <v>-1800</v>
      </c>
    </row>
    <row r="179" spans="1:6" ht="15" hidden="1" customHeight="1">
      <c r="A179" s="7" t="s">
        <v>315</v>
      </c>
      <c r="B179" s="3">
        <v>50110</v>
      </c>
      <c r="C179" s="7" t="s">
        <v>388</v>
      </c>
      <c r="D179" s="7" t="s">
        <v>317</v>
      </c>
      <c r="E179" s="7" t="s">
        <v>364</v>
      </c>
      <c r="F179" s="44">
        <v>79961.460000000006</v>
      </c>
    </row>
    <row r="180" spans="1:6" ht="15" hidden="1" customHeight="1">
      <c r="A180" s="7" t="s">
        <v>315</v>
      </c>
      <c r="B180" s="3">
        <v>50150</v>
      </c>
      <c r="C180" s="7" t="s">
        <v>388</v>
      </c>
      <c r="D180" s="7" t="s">
        <v>317</v>
      </c>
      <c r="E180" s="7" t="s">
        <v>364</v>
      </c>
      <c r="F180" s="44">
        <v>13644.16</v>
      </c>
    </row>
    <row r="181" spans="1:6" ht="15" hidden="1" customHeight="1">
      <c r="A181" s="7" t="s">
        <v>315</v>
      </c>
      <c r="B181" s="3">
        <v>50170</v>
      </c>
      <c r="C181" s="7" t="s">
        <v>388</v>
      </c>
      <c r="D181" s="7" t="s">
        <v>317</v>
      </c>
      <c r="E181" s="7" t="s">
        <v>364</v>
      </c>
      <c r="F181" s="44">
        <v>458.5</v>
      </c>
    </row>
    <row r="182" spans="1:6" ht="15" hidden="1" customHeight="1">
      <c r="A182" s="7" t="s">
        <v>315</v>
      </c>
      <c r="B182" s="3">
        <v>50410</v>
      </c>
      <c r="C182" s="7" t="s">
        <v>388</v>
      </c>
      <c r="D182" s="7" t="s">
        <v>317</v>
      </c>
      <c r="E182" s="7" t="s">
        <v>364</v>
      </c>
      <c r="F182" s="44">
        <v>0</v>
      </c>
    </row>
    <row r="183" spans="1:6" ht="15" hidden="1" customHeight="1">
      <c r="A183" s="7" t="s">
        <v>315</v>
      </c>
      <c r="B183" s="3">
        <v>50420</v>
      </c>
      <c r="C183" s="7" t="s">
        <v>388</v>
      </c>
      <c r="D183" s="7" t="s">
        <v>317</v>
      </c>
      <c r="E183" s="7" t="s">
        <v>364</v>
      </c>
      <c r="F183" s="44">
        <v>0</v>
      </c>
    </row>
    <row r="184" spans="1:6" ht="15" hidden="1" customHeight="1">
      <c r="A184" s="7" t="s">
        <v>315</v>
      </c>
      <c r="B184" s="3">
        <v>50430</v>
      </c>
      <c r="C184" s="7" t="s">
        <v>388</v>
      </c>
      <c r="D184" s="7" t="s">
        <v>317</v>
      </c>
      <c r="E184" s="7" t="s">
        <v>364</v>
      </c>
      <c r="F184" s="44">
        <v>0</v>
      </c>
    </row>
    <row r="185" spans="1:6" ht="15" hidden="1" customHeight="1">
      <c r="A185" s="7" t="s">
        <v>315</v>
      </c>
      <c r="B185" s="3">
        <v>50441</v>
      </c>
      <c r="C185" s="7" t="s">
        <v>388</v>
      </c>
      <c r="D185" s="7" t="s">
        <v>317</v>
      </c>
      <c r="E185" s="7" t="s">
        <v>364</v>
      </c>
      <c r="F185" s="44">
        <v>0</v>
      </c>
    </row>
    <row r="186" spans="1:6" ht="15" hidden="1" customHeight="1">
      <c r="A186" s="7" t="s">
        <v>315</v>
      </c>
      <c r="B186" s="3">
        <v>50442</v>
      </c>
      <c r="C186" s="7" t="s">
        <v>388</v>
      </c>
      <c r="D186" s="7" t="s">
        <v>317</v>
      </c>
      <c r="E186" s="7" t="s">
        <v>364</v>
      </c>
      <c r="F186" s="44">
        <v>0</v>
      </c>
    </row>
    <row r="187" spans="1:6" ht="15" hidden="1" customHeight="1">
      <c r="A187" s="7" t="s">
        <v>315</v>
      </c>
      <c r="B187" s="3">
        <v>50471</v>
      </c>
      <c r="C187" s="7" t="s">
        <v>388</v>
      </c>
      <c r="D187" s="7" t="s">
        <v>317</v>
      </c>
      <c r="E187" s="7" t="s">
        <v>364</v>
      </c>
      <c r="F187" s="44">
        <v>0</v>
      </c>
    </row>
    <row r="188" spans="1:6" ht="15" hidden="1" customHeight="1">
      <c r="A188" s="7" t="s">
        <v>315</v>
      </c>
      <c r="B188" s="3">
        <v>50710</v>
      </c>
      <c r="C188" s="7" t="s">
        <v>388</v>
      </c>
      <c r="D188" s="7" t="s">
        <v>317</v>
      </c>
      <c r="E188" s="7" t="s">
        <v>364</v>
      </c>
      <c r="F188" s="44">
        <v>0</v>
      </c>
    </row>
    <row r="189" spans="1:6" ht="15" hidden="1" customHeight="1">
      <c r="A189" s="7" t="s">
        <v>315</v>
      </c>
      <c r="B189" s="3">
        <v>50710</v>
      </c>
      <c r="C189" s="7" t="s">
        <v>388</v>
      </c>
      <c r="D189" s="7" t="s">
        <v>317</v>
      </c>
      <c r="E189" s="7" t="s">
        <v>365</v>
      </c>
      <c r="F189" s="44">
        <v>135</v>
      </c>
    </row>
    <row r="190" spans="1:6" ht="15" hidden="1" customHeight="1">
      <c r="A190" s="7" t="s">
        <v>315</v>
      </c>
      <c r="B190" s="3">
        <v>50800</v>
      </c>
      <c r="C190" s="7" t="s">
        <v>388</v>
      </c>
      <c r="D190" s="7" t="s">
        <v>317</v>
      </c>
      <c r="E190" s="7" t="s">
        <v>364</v>
      </c>
      <c r="F190" s="44">
        <v>0</v>
      </c>
    </row>
    <row r="191" spans="1:6" ht="15" hidden="1" customHeight="1">
      <c r="A191" s="7" t="s">
        <v>315</v>
      </c>
      <c r="B191" s="3">
        <v>50800</v>
      </c>
      <c r="C191" s="7" t="s">
        <v>388</v>
      </c>
      <c r="D191" s="7" t="s">
        <v>317</v>
      </c>
      <c r="E191" s="7" t="s">
        <v>365</v>
      </c>
      <c r="F191" s="44">
        <v>157.30000000000001</v>
      </c>
    </row>
    <row r="192" spans="1:6" ht="15" hidden="1" customHeight="1">
      <c r="A192" s="7" t="s">
        <v>315</v>
      </c>
      <c r="B192" s="3">
        <v>52531</v>
      </c>
      <c r="C192" s="7" t="s">
        <v>388</v>
      </c>
      <c r="D192" s="7" t="s">
        <v>317</v>
      </c>
      <c r="E192" s="7" t="s">
        <v>365</v>
      </c>
      <c r="F192" s="44">
        <v>392</v>
      </c>
    </row>
    <row r="193" spans="1:6" ht="15" hidden="1" customHeight="1">
      <c r="A193" s="7" t="s">
        <v>315</v>
      </c>
      <c r="B193" s="3">
        <v>53035</v>
      </c>
      <c r="C193" s="7" t="s">
        <v>388</v>
      </c>
      <c r="D193" s="7" t="s">
        <v>317</v>
      </c>
      <c r="E193" s="7" t="s">
        <v>365</v>
      </c>
      <c r="F193" s="44">
        <v>587.6</v>
      </c>
    </row>
    <row r="194" spans="1:6" ht="15" hidden="1" customHeight="1">
      <c r="A194" s="7" t="s">
        <v>315</v>
      </c>
      <c r="B194" s="3">
        <v>53311</v>
      </c>
      <c r="C194" s="7" t="s">
        <v>388</v>
      </c>
      <c r="D194" s="7" t="s">
        <v>317</v>
      </c>
      <c r="E194" s="7" t="s">
        <v>365</v>
      </c>
      <c r="F194" s="44">
        <v>6232.26</v>
      </c>
    </row>
    <row r="195" spans="1:6" ht="15" hidden="1" customHeight="1">
      <c r="A195" s="7" t="s">
        <v>315</v>
      </c>
      <c r="B195" s="3">
        <v>53338</v>
      </c>
      <c r="C195" s="7" t="s">
        <v>388</v>
      </c>
      <c r="D195" s="7" t="s">
        <v>317</v>
      </c>
      <c r="E195" s="7" t="s">
        <v>365</v>
      </c>
      <c r="F195" s="44">
        <v>2609.29</v>
      </c>
    </row>
    <row r="196" spans="1:6" ht="15" hidden="1" customHeight="1">
      <c r="A196" s="7" t="s">
        <v>315</v>
      </c>
      <c r="B196" s="3">
        <v>53361</v>
      </c>
      <c r="C196" s="7" t="s">
        <v>388</v>
      </c>
      <c r="D196" s="7" t="s">
        <v>317</v>
      </c>
      <c r="E196" s="7" t="s">
        <v>365</v>
      </c>
      <c r="F196" s="44">
        <v>204</v>
      </c>
    </row>
    <row r="197" spans="1:6" ht="15" hidden="1" customHeight="1">
      <c r="A197" s="7" t="s">
        <v>315</v>
      </c>
      <c r="B197" s="3">
        <v>53390</v>
      </c>
      <c r="C197" s="7" t="s">
        <v>388</v>
      </c>
      <c r="D197" s="7" t="s">
        <v>317</v>
      </c>
      <c r="E197" s="7" t="s">
        <v>365</v>
      </c>
      <c r="F197" s="44">
        <v>765.71</v>
      </c>
    </row>
    <row r="198" spans="1:6" ht="15" hidden="1" customHeight="1">
      <c r="A198" s="7" t="s">
        <v>315</v>
      </c>
      <c r="B198" s="3">
        <v>53450</v>
      </c>
      <c r="C198" s="7" t="s">
        <v>388</v>
      </c>
      <c r="D198" s="7" t="s">
        <v>317</v>
      </c>
      <c r="E198" s="7" t="s">
        <v>365</v>
      </c>
      <c r="F198" s="44">
        <v>505.5</v>
      </c>
    </row>
    <row r="199" spans="1:6" ht="15" hidden="1" customHeight="1">
      <c r="A199" s="7" t="s">
        <v>315</v>
      </c>
      <c r="B199" s="3">
        <v>54060</v>
      </c>
      <c r="C199" s="7" t="s">
        <v>388</v>
      </c>
      <c r="D199" s="7" t="s">
        <v>317</v>
      </c>
      <c r="E199" s="7" t="s">
        <v>365</v>
      </c>
      <c r="F199" s="44">
        <v>10.119999999999999</v>
      </c>
    </row>
    <row r="200" spans="1:6" ht="15" hidden="1" customHeight="1">
      <c r="A200" s="7" t="s">
        <v>315</v>
      </c>
      <c r="B200" s="3">
        <v>54150</v>
      </c>
      <c r="C200" s="7" t="s">
        <v>388</v>
      </c>
      <c r="D200" s="7" t="s">
        <v>319</v>
      </c>
      <c r="E200" s="7" t="s">
        <v>389</v>
      </c>
      <c r="F200" s="44">
        <v>310.73</v>
      </c>
    </row>
    <row r="201" spans="1:6" ht="15" hidden="1" customHeight="1">
      <c r="A201" s="7" t="s">
        <v>315</v>
      </c>
      <c r="B201" s="3">
        <v>55710</v>
      </c>
      <c r="C201" s="7" t="s">
        <v>388</v>
      </c>
      <c r="D201" s="7" t="s">
        <v>319</v>
      </c>
      <c r="E201" s="7" t="s">
        <v>389</v>
      </c>
      <c r="F201" s="44">
        <v>5679.56</v>
      </c>
    </row>
    <row r="202" spans="1:6" ht="15" hidden="1" customHeight="1">
      <c r="A202" s="7" t="s">
        <v>315</v>
      </c>
      <c r="B202" s="3">
        <v>44410</v>
      </c>
      <c r="C202" s="7" t="s">
        <v>390</v>
      </c>
      <c r="D202" s="7" t="s">
        <v>317</v>
      </c>
      <c r="E202" s="7" t="s">
        <v>318</v>
      </c>
      <c r="F202" s="44">
        <v>-89365.87</v>
      </c>
    </row>
    <row r="203" spans="1:6" ht="15" hidden="1" customHeight="1">
      <c r="A203" s="7" t="s">
        <v>315</v>
      </c>
      <c r="B203" s="3">
        <v>47100</v>
      </c>
      <c r="C203" s="7" t="s">
        <v>390</v>
      </c>
      <c r="D203" s="7" t="s">
        <v>319</v>
      </c>
      <c r="E203" s="7" t="s">
        <v>391</v>
      </c>
      <c r="F203" s="44">
        <v>-93750</v>
      </c>
    </row>
    <row r="204" spans="1:6" ht="15" hidden="1" customHeight="1">
      <c r="A204" s="7" t="s">
        <v>315</v>
      </c>
      <c r="B204" s="3">
        <v>47200</v>
      </c>
      <c r="C204" s="7" t="s">
        <v>390</v>
      </c>
      <c r="D204" s="7" t="s">
        <v>319</v>
      </c>
      <c r="E204" s="7" t="s">
        <v>392</v>
      </c>
      <c r="F204" s="44">
        <v>-99043</v>
      </c>
    </row>
    <row r="205" spans="1:6" ht="15" hidden="1" customHeight="1">
      <c r="A205" s="7" t="s">
        <v>315</v>
      </c>
      <c r="B205" s="3">
        <v>55050</v>
      </c>
      <c r="C205" s="7" t="s">
        <v>390</v>
      </c>
      <c r="D205" s="7" t="s">
        <v>317</v>
      </c>
      <c r="E205" s="7" t="s">
        <v>393</v>
      </c>
      <c r="F205" s="44">
        <v>492991</v>
      </c>
    </row>
    <row r="206" spans="1:6" ht="15" hidden="1" customHeight="1">
      <c r="A206" s="7" t="s">
        <v>315</v>
      </c>
      <c r="B206" s="3">
        <v>55050</v>
      </c>
      <c r="C206" s="7" t="s">
        <v>390</v>
      </c>
      <c r="D206" s="7" t="s">
        <v>394</v>
      </c>
      <c r="E206" s="7" t="s">
        <v>395</v>
      </c>
      <c r="F206" s="44">
        <v>0</v>
      </c>
    </row>
    <row r="207" spans="1:6" ht="15" hidden="1" customHeight="1">
      <c r="A207" s="7" t="s">
        <v>315</v>
      </c>
      <c r="B207" s="3">
        <v>55050</v>
      </c>
      <c r="C207" s="7" t="s">
        <v>390</v>
      </c>
      <c r="D207" s="7" t="s">
        <v>394</v>
      </c>
      <c r="E207" s="7" t="s">
        <v>396</v>
      </c>
      <c r="F207" s="44">
        <v>-7928</v>
      </c>
    </row>
    <row r="208" spans="1:6" ht="15" hidden="1" customHeight="1">
      <c r="A208" s="7" t="s">
        <v>315</v>
      </c>
      <c r="B208" s="3">
        <v>55050</v>
      </c>
      <c r="C208" s="7" t="s">
        <v>390</v>
      </c>
      <c r="D208" s="7" t="s">
        <v>394</v>
      </c>
      <c r="E208" s="7" t="s">
        <v>397</v>
      </c>
      <c r="F208" s="44">
        <v>-119529.5</v>
      </c>
    </row>
    <row r="209" spans="1:6" ht="15" hidden="1" customHeight="1">
      <c r="A209" s="7" t="s">
        <v>315</v>
      </c>
      <c r="B209" s="3">
        <v>55050</v>
      </c>
      <c r="C209" s="7" t="s">
        <v>390</v>
      </c>
      <c r="D209" s="7" t="s">
        <v>319</v>
      </c>
      <c r="E209" s="7" t="s">
        <v>320</v>
      </c>
      <c r="F209" s="44">
        <v>75874.27</v>
      </c>
    </row>
    <row r="210" spans="1:6" ht="15" customHeight="1" thickTop="1">
      <c r="A210" s="7" t="s">
        <v>315</v>
      </c>
      <c r="B210" s="3">
        <v>55050</v>
      </c>
      <c r="C210" s="7" t="s">
        <v>390</v>
      </c>
      <c r="D210" s="7" t="s">
        <v>319</v>
      </c>
      <c r="E210" s="7" t="s">
        <v>321</v>
      </c>
      <c r="F210" s="44">
        <v>3820107.98</v>
      </c>
    </row>
    <row r="211" spans="1:6" ht="15" hidden="1" customHeight="1">
      <c r="A211" s="7" t="s">
        <v>315</v>
      </c>
      <c r="B211" s="3">
        <v>55050</v>
      </c>
      <c r="C211" s="7" t="s">
        <v>390</v>
      </c>
      <c r="D211" s="7" t="s">
        <v>319</v>
      </c>
      <c r="E211" s="7" t="s">
        <v>322</v>
      </c>
      <c r="F211" s="44">
        <v>249118</v>
      </c>
    </row>
    <row r="212" spans="1:6" ht="15" customHeight="1">
      <c r="A212" s="7" t="s">
        <v>315</v>
      </c>
      <c r="B212" s="3">
        <v>55050</v>
      </c>
      <c r="C212" s="7" t="s">
        <v>390</v>
      </c>
      <c r="D212" s="7" t="s">
        <v>319</v>
      </c>
      <c r="E212" s="7" t="s">
        <v>323</v>
      </c>
      <c r="F212" s="44">
        <v>3090938.11</v>
      </c>
    </row>
    <row r="213" spans="1:6" ht="15" hidden="1" customHeight="1">
      <c r="A213" s="7" t="s">
        <v>315</v>
      </c>
      <c r="B213" s="3">
        <v>55050</v>
      </c>
      <c r="C213" s="7" t="s">
        <v>390</v>
      </c>
      <c r="D213" s="7" t="s">
        <v>319</v>
      </c>
      <c r="E213" s="7" t="s">
        <v>324</v>
      </c>
      <c r="F213" s="44">
        <v>1476</v>
      </c>
    </row>
    <row r="214" spans="1:6" ht="15" customHeight="1">
      <c r="A214" s="7" t="s">
        <v>315</v>
      </c>
      <c r="B214" s="3">
        <v>55050</v>
      </c>
      <c r="C214" s="7" t="s">
        <v>390</v>
      </c>
      <c r="D214" s="7" t="s">
        <v>319</v>
      </c>
      <c r="E214" s="7" t="s">
        <v>326</v>
      </c>
      <c r="F214" s="44">
        <v>769990</v>
      </c>
    </row>
    <row r="215" spans="1:6" ht="15" hidden="1" customHeight="1">
      <c r="A215" s="7" t="s">
        <v>315</v>
      </c>
      <c r="B215" s="3">
        <v>55050</v>
      </c>
      <c r="C215" s="7" t="s">
        <v>390</v>
      </c>
      <c r="D215" s="7" t="s">
        <v>319</v>
      </c>
      <c r="E215" s="7" t="s">
        <v>327</v>
      </c>
      <c r="F215" s="44">
        <v>129999.43</v>
      </c>
    </row>
    <row r="216" spans="1:6" ht="15" hidden="1" customHeight="1">
      <c r="A216" s="7" t="s">
        <v>315</v>
      </c>
      <c r="B216" s="3">
        <v>55050</v>
      </c>
      <c r="C216" s="7" t="s">
        <v>390</v>
      </c>
      <c r="D216" s="7" t="s">
        <v>319</v>
      </c>
      <c r="E216" s="7" t="s">
        <v>328</v>
      </c>
      <c r="F216" s="44">
        <v>15935</v>
      </c>
    </row>
    <row r="217" spans="1:6" ht="15" customHeight="1">
      <c r="A217" s="7" t="s">
        <v>315</v>
      </c>
      <c r="B217" s="3">
        <v>55050</v>
      </c>
      <c r="C217" s="7" t="s">
        <v>390</v>
      </c>
      <c r="D217" s="7" t="s">
        <v>319</v>
      </c>
      <c r="E217" s="7" t="s">
        <v>330</v>
      </c>
      <c r="F217" s="44">
        <v>13710722.439999999</v>
      </c>
    </row>
    <row r="218" spans="1:6" ht="15" customHeight="1">
      <c r="A218" s="7" t="s">
        <v>315</v>
      </c>
      <c r="B218" s="3">
        <v>55050</v>
      </c>
      <c r="C218" s="7" t="s">
        <v>390</v>
      </c>
      <c r="D218" s="7" t="s">
        <v>319</v>
      </c>
      <c r="E218" s="7" t="s">
        <v>331</v>
      </c>
      <c r="F218" s="44">
        <v>18120074.239999998</v>
      </c>
    </row>
    <row r="219" spans="1:6" ht="15" hidden="1" customHeight="1">
      <c r="A219" s="7" t="s">
        <v>315</v>
      </c>
      <c r="B219" s="3">
        <v>55050</v>
      </c>
      <c r="C219" s="7" t="s">
        <v>390</v>
      </c>
      <c r="D219" s="7" t="s">
        <v>319</v>
      </c>
      <c r="E219" s="7" t="s">
        <v>333</v>
      </c>
      <c r="F219" s="44">
        <v>56002</v>
      </c>
    </row>
    <row r="220" spans="1:6" ht="15" customHeight="1">
      <c r="A220" s="7" t="s">
        <v>315</v>
      </c>
      <c r="B220" s="3">
        <v>55050</v>
      </c>
      <c r="C220" s="7" t="s">
        <v>390</v>
      </c>
      <c r="D220" s="7" t="s">
        <v>319</v>
      </c>
      <c r="E220" s="7" t="s">
        <v>334</v>
      </c>
      <c r="F220" s="44">
        <v>670611.44999999995</v>
      </c>
    </row>
    <row r="221" spans="1:6" ht="15" hidden="1" customHeight="1">
      <c r="A221" s="7" t="s">
        <v>315</v>
      </c>
      <c r="B221" s="3">
        <v>55050</v>
      </c>
      <c r="C221" s="7" t="s">
        <v>390</v>
      </c>
      <c r="D221" s="7" t="s">
        <v>319</v>
      </c>
      <c r="E221" s="7" t="s">
        <v>336</v>
      </c>
      <c r="F221" s="44">
        <v>40506</v>
      </c>
    </row>
    <row r="222" spans="1:6" ht="15" customHeight="1">
      <c r="A222" s="7" t="s">
        <v>315</v>
      </c>
      <c r="B222" s="3">
        <v>55050</v>
      </c>
      <c r="C222" s="7" t="s">
        <v>390</v>
      </c>
      <c r="D222" s="7" t="s">
        <v>319</v>
      </c>
      <c r="E222" s="7" t="s">
        <v>337</v>
      </c>
      <c r="F222" s="44">
        <v>700531.67</v>
      </c>
    </row>
    <row r="223" spans="1:6" ht="15" customHeight="1">
      <c r="A223" s="7" t="s">
        <v>315</v>
      </c>
      <c r="B223" s="3">
        <v>55050</v>
      </c>
      <c r="C223" s="7" t="s">
        <v>390</v>
      </c>
      <c r="D223" s="7" t="s">
        <v>319</v>
      </c>
      <c r="E223" s="7" t="s">
        <v>339</v>
      </c>
      <c r="F223" s="44">
        <v>430277.81</v>
      </c>
    </row>
    <row r="224" spans="1:6" ht="15" customHeight="1">
      <c r="A224" s="7" t="s">
        <v>315</v>
      </c>
      <c r="B224" s="3">
        <v>55050</v>
      </c>
      <c r="C224" s="7" t="s">
        <v>390</v>
      </c>
      <c r="D224" s="7" t="s">
        <v>319</v>
      </c>
      <c r="E224" s="7" t="s">
        <v>341</v>
      </c>
      <c r="F224" s="44">
        <v>748128.93</v>
      </c>
    </row>
    <row r="225" spans="1:6" ht="15" customHeight="1">
      <c r="A225" s="7" t="s">
        <v>315</v>
      </c>
      <c r="B225" s="3">
        <v>55050</v>
      </c>
      <c r="C225" s="7" t="s">
        <v>390</v>
      </c>
      <c r="D225" s="7" t="s">
        <v>319</v>
      </c>
      <c r="E225" s="7" t="s">
        <v>342</v>
      </c>
      <c r="F225" s="44">
        <v>2929719.53</v>
      </c>
    </row>
    <row r="226" spans="1:6" ht="15" customHeight="1">
      <c r="A226" s="7" t="s">
        <v>315</v>
      </c>
      <c r="B226" s="3">
        <v>55050</v>
      </c>
      <c r="C226" s="7" t="s">
        <v>390</v>
      </c>
      <c r="D226" s="7" t="s">
        <v>319</v>
      </c>
      <c r="E226" s="7" t="s">
        <v>343</v>
      </c>
      <c r="F226" s="44">
        <v>1315625</v>
      </c>
    </row>
    <row r="227" spans="1:6" ht="15" customHeight="1">
      <c r="A227" s="7" t="s">
        <v>315</v>
      </c>
      <c r="B227" s="3">
        <v>55050</v>
      </c>
      <c r="C227" s="7" t="s">
        <v>390</v>
      </c>
      <c r="D227" s="7" t="s">
        <v>319</v>
      </c>
      <c r="E227" s="7" t="s">
        <v>344</v>
      </c>
      <c r="F227" s="44">
        <v>907809.29</v>
      </c>
    </row>
    <row r="228" spans="1:6" ht="15" hidden="1" customHeight="1">
      <c r="A228" s="7" t="s">
        <v>315</v>
      </c>
      <c r="B228" s="3">
        <v>55050</v>
      </c>
      <c r="C228" s="7" t="s">
        <v>390</v>
      </c>
      <c r="D228" s="7" t="s">
        <v>319</v>
      </c>
      <c r="E228" s="7" t="s">
        <v>345</v>
      </c>
      <c r="F228" s="44">
        <v>60000</v>
      </c>
    </row>
    <row r="229" spans="1:6" ht="15" customHeight="1">
      <c r="A229" s="7" t="s">
        <v>315</v>
      </c>
      <c r="B229" s="3">
        <v>55050</v>
      </c>
      <c r="C229" s="7" t="s">
        <v>390</v>
      </c>
      <c r="D229" s="7" t="s">
        <v>319</v>
      </c>
      <c r="E229" s="7" t="s">
        <v>346</v>
      </c>
      <c r="F229" s="44">
        <v>348688.5</v>
      </c>
    </row>
    <row r="230" spans="1:6" ht="15" hidden="1" customHeight="1">
      <c r="A230" s="7" t="s">
        <v>315</v>
      </c>
      <c r="B230" s="3">
        <v>55050</v>
      </c>
      <c r="C230" s="7" t="s">
        <v>390</v>
      </c>
      <c r="D230" s="7" t="s">
        <v>319</v>
      </c>
      <c r="E230" s="7" t="s">
        <v>347</v>
      </c>
      <c r="F230" s="44">
        <v>12000</v>
      </c>
    </row>
    <row r="231" spans="1:6" ht="15" hidden="1" customHeight="1">
      <c r="A231" s="7" t="s">
        <v>315</v>
      </c>
      <c r="B231" s="3">
        <v>55050</v>
      </c>
      <c r="C231" s="7" t="s">
        <v>390</v>
      </c>
      <c r="D231" s="7" t="s">
        <v>319</v>
      </c>
      <c r="E231" s="7" t="s">
        <v>348</v>
      </c>
      <c r="F231" s="44">
        <v>2056.9299999999998</v>
      </c>
    </row>
    <row r="232" spans="1:6" ht="15" customHeight="1">
      <c r="A232" s="7" t="s">
        <v>315</v>
      </c>
      <c r="B232" s="3">
        <v>55050</v>
      </c>
      <c r="C232" s="7" t="s">
        <v>390</v>
      </c>
      <c r="D232" s="7" t="s">
        <v>319</v>
      </c>
      <c r="E232" s="7" t="s">
        <v>350</v>
      </c>
      <c r="F232" s="44">
        <v>24581690.120000001</v>
      </c>
    </row>
    <row r="233" spans="1:6" ht="15" customHeight="1">
      <c r="A233" s="7" t="s">
        <v>315</v>
      </c>
      <c r="B233" s="3">
        <v>55050</v>
      </c>
      <c r="C233" s="7" t="s">
        <v>390</v>
      </c>
      <c r="D233" s="7" t="s">
        <v>319</v>
      </c>
      <c r="E233" s="7" t="s">
        <v>351</v>
      </c>
      <c r="F233" s="44">
        <v>876252.88</v>
      </c>
    </row>
    <row r="234" spans="1:6" ht="15" hidden="1" customHeight="1">
      <c r="A234" s="7" t="s">
        <v>315</v>
      </c>
      <c r="B234" s="3">
        <v>55050</v>
      </c>
      <c r="C234" s="7" t="s">
        <v>390</v>
      </c>
      <c r="D234" s="7" t="s">
        <v>319</v>
      </c>
      <c r="E234" s="7" t="s">
        <v>352</v>
      </c>
      <c r="F234" s="44">
        <v>16370</v>
      </c>
    </row>
    <row r="235" spans="1:6" ht="15" customHeight="1">
      <c r="A235" s="7" t="s">
        <v>315</v>
      </c>
      <c r="B235" s="3">
        <v>55050</v>
      </c>
      <c r="C235" s="7" t="s">
        <v>390</v>
      </c>
      <c r="D235" s="7" t="s">
        <v>319</v>
      </c>
      <c r="E235" s="7" t="s">
        <v>353</v>
      </c>
      <c r="F235" s="44">
        <v>364202</v>
      </c>
    </row>
    <row r="236" spans="1:6" ht="15" hidden="1" customHeight="1">
      <c r="A236" s="7" t="s">
        <v>315</v>
      </c>
      <c r="B236" s="3">
        <v>55050</v>
      </c>
      <c r="C236" s="7" t="s">
        <v>390</v>
      </c>
      <c r="D236" s="7" t="s">
        <v>319</v>
      </c>
      <c r="E236" s="7" t="s">
        <v>391</v>
      </c>
      <c r="F236" s="44">
        <v>31250</v>
      </c>
    </row>
    <row r="237" spans="1:6" ht="15" hidden="1" customHeight="1">
      <c r="A237" s="7" t="s">
        <v>315</v>
      </c>
      <c r="B237" s="3">
        <v>55050</v>
      </c>
      <c r="C237" s="7" t="s">
        <v>390</v>
      </c>
      <c r="D237" s="7" t="s">
        <v>319</v>
      </c>
      <c r="E237" s="7" t="s">
        <v>354</v>
      </c>
      <c r="F237" s="44">
        <v>31000</v>
      </c>
    </row>
    <row r="238" spans="1:6" ht="15" hidden="1" customHeight="1">
      <c r="A238" s="7" t="s">
        <v>315</v>
      </c>
      <c r="B238" s="3">
        <v>55050</v>
      </c>
      <c r="C238" s="7" t="s">
        <v>390</v>
      </c>
      <c r="D238" s="7" t="s">
        <v>319</v>
      </c>
      <c r="E238" s="7" t="s">
        <v>355</v>
      </c>
      <c r="F238" s="44">
        <v>21294.05</v>
      </c>
    </row>
    <row r="239" spans="1:6" ht="15" hidden="1" customHeight="1">
      <c r="A239" s="7" t="s">
        <v>315</v>
      </c>
      <c r="B239" s="3">
        <v>55050</v>
      </c>
      <c r="C239" s="7" t="s">
        <v>390</v>
      </c>
      <c r="D239" s="7" t="s">
        <v>319</v>
      </c>
      <c r="E239" s="7" t="s">
        <v>357</v>
      </c>
      <c r="F239" s="44">
        <v>277223</v>
      </c>
    </row>
    <row r="240" spans="1:6" ht="15" customHeight="1">
      <c r="A240" s="7" t="s">
        <v>315</v>
      </c>
      <c r="B240" s="3">
        <v>55050</v>
      </c>
      <c r="C240" s="7" t="s">
        <v>390</v>
      </c>
      <c r="D240" s="7" t="s">
        <v>319</v>
      </c>
      <c r="E240" s="7" t="s">
        <v>358</v>
      </c>
      <c r="F240" s="44">
        <v>383694</v>
      </c>
    </row>
    <row r="241" spans="1:6" ht="15" hidden="1" customHeight="1">
      <c r="A241" s="7" t="s">
        <v>315</v>
      </c>
      <c r="B241" s="3">
        <v>55050</v>
      </c>
      <c r="C241" s="7" t="s">
        <v>390</v>
      </c>
      <c r="D241" s="7" t="s">
        <v>319</v>
      </c>
      <c r="E241" s="7" t="s">
        <v>398</v>
      </c>
      <c r="F241" s="44">
        <v>30000</v>
      </c>
    </row>
    <row r="242" spans="1:6" ht="15" customHeight="1">
      <c r="A242" s="7" t="s">
        <v>315</v>
      </c>
      <c r="B242" s="3">
        <v>55050</v>
      </c>
      <c r="C242" s="7" t="s">
        <v>390</v>
      </c>
      <c r="D242" s="7" t="s">
        <v>319</v>
      </c>
      <c r="E242" s="7" t="s">
        <v>359</v>
      </c>
      <c r="F242" s="44">
        <v>3565509</v>
      </c>
    </row>
    <row r="243" spans="1:6" ht="15" customHeight="1">
      <c r="A243" s="7" t="s">
        <v>315</v>
      </c>
      <c r="B243" s="3">
        <v>55050</v>
      </c>
      <c r="C243" s="7" t="s">
        <v>390</v>
      </c>
      <c r="D243" s="7" t="s">
        <v>319</v>
      </c>
      <c r="E243" s="7" t="s">
        <v>360</v>
      </c>
      <c r="F243" s="44">
        <v>13133270</v>
      </c>
    </row>
    <row r="244" spans="1:6" ht="15" customHeight="1">
      <c r="A244" s="7" t="s">
        <v>315</v>
      </c>
      <c r="B244" s="3">
        <v>55050</v>
      </c>
      <c r="C244" s="7" t="s">
        <v>390</v>
      </c>
      <c r="D244" s="7" t="s">
        <v>319</v>
      </c>
      <c r="E244" s="7" t="s">
        <v>361</v>
      </c>
      <c r="F244" s="44">
        <v>490938</v>
      </c>
    </row>
    <row r="245" spans="1:6" ht="15" customHeight="1">
      <c r="A245" s="7" t="s">
        <v>315</v>
      </c>
      <c r="B245" s="3">
        <v>55050</v>
      </c>
      <c r="C245" s="7" t="s">
        <v>390</v>
      </c>
      <c r="D245" s="7" t="s">
        <v>319</v>
      </c>
      <c r="E245" s="7" t="s">
        <v>362</v>
      </c>
      <c r="F245" s="44">
        <v>460463</v>
      </c>
    </row>
    <row r="246" spans="1:6" ht="15" hidden="1" customHeight="1">
      <c r="A246" s="7" t="s">
        <v>315</v>
      </c>
      <c r="B246" s="3">
        <v>55050</v>
      </c>
      <c r="C246" s="7" t="s">
        <v>390</v>
      </c>
      <c r="D246" s="7" t="s">
        <v>319</v>
      </c>
      <c r="E246" s="7" t="s">
        <v>363</v>
      </c>
      <c r="F246" s="44">
        <v>29949</v>
      </c>
    </row>
    <row r="247" spans="1:6" ht="15" hidden="1" customHeight="1">
      <c r="A247" s="7" t="s">
        <v>315</v>
      </c>
      <c r="B247" s="3">
        <v>55050</v>
      </c>
      <c r="C247" s="7" t="s">
        <v>390</v>
      </c>
      <c r="D247" s="7" t="s">
        <v>319</v>
      </c>
      <c r="E247" s="7" t="s">
        <v>399</v>
      </c>
      <c r="F247" s="44">
        <v>13100</v>
      </c>
    </row>
    <row r="248" spans="1:6" ht="15" hidden="1" customHeight="1">
      <c r="A248" s="7" t="s">
        <v>315</v>
      </c>
      <c r="B248" s="3">
        <v>55050</v>
      </c>
      <c r="C248" s="7" t="s">
        <v>390</v>
      </c>
      <c r="D248" s="7" t="s">
        <v>400</v>
      </c>
      <c r="E248" s="7" t="s">
        <v>401</v>
      </c>
      <c r="F248" s="44">
        <v>4449421.9800000004</v>
      </c>
    </row>
    <row r="249" spans="1:6" ht="15" customHeight="1">
      <c r="A249" s="7" t="s">
        <v>315</v>
      </c>
      <c r="B249" s="3">
        <v>55050</v>
      </c>
      <c r="C249" s="7" t="s">
        <v>390</v>
      </c>
      <c r="D249" s="7" t="s">
        <v>402</v>
      </c>
      <c r="E249" s="7" t="s">
        <v>403</v>
      </c>
      <c r="F249" s="44">
        <v>130259455.84999999</v>
      </c>
    </row>
    <row r="250" spans="1:6" ht="15" hidden="1" customHeight="1">
      <c r="A250" s="7" t="s">
        <v>315</v>
      </c>
      <c r="B250" s="3">
        <v>55070</v>
      </c>
      <c r="C250" s="7" t="s">
        <v>390</v>
      </c>
      <c r="D250" s="7" t="s">
        <v>317</v>
      </c>
      <c r="E250" s="7" t="s">
        <v>404</v>
      </c>
      <c r="F250" s="44">
        <v>3870004</v>
      </c>
    </row>
    <row r="251" spans="1:6" ht="15" hidden="1" customHeight="1">
      <c r="A251" s="7" t="s">
        <v>315</v>
      </c>
      <c r="B251" s="3">
        <v>55070</v>
      </c>
      <c r="C251" s="7" t="s">
        <v>390</v>
      </c>
      <c r="D251" s="7" t="s">
        <v>317</v>
      </c>
      <c r="E251" s="7" t="s">
        <v>405</v>
      </c>
      <c r="F251" s="44">
        <v>490000</v>
      </c>
    </row>
    <row r="252" spans="1:6" ht="15" hidden="1" customHeight="1">
      <c r="A252" s="7" t="s">
        <v>315</v>
      </c>
      <c r="B252" s="3">
        <v>55070</v>
      </c>
      <c r="C252" s="7" t="s">
        <v>390</v>
      </c>
      <c r="D252" s="7" t="s">
        <v>317</v>
      </c>
      <c r="E252" s="7" t="s">
        <v>406</v>
      </c>
      <c r="F252" s="44">
        <v>249999</v>
      </c>
    </row>
    <row r="253" spans="1:6" ht="15" hidden="1" customHeight="1">
      <c r="A253" s="7" t="s">
        <v>315</v>
      </c>
      <c r="B253" s="3">
        <v>55070</v>
      </c>
      <c r="C253" s="7" t="s">
        <v>390</v>
      </c>
      <c r="D253" s="7" t="s">
        <v>317</v>
      </c>
      <c r="E253" s="7" t="s">
        <v>407</v>
      </c>
      <c r="F253" s="44">
        <v>22511868</v>
      </c>
    </row>
    <row r="254" spans="1:6" ht="15" hidden="1" customHeight="1">
      <c r="A254" s="7" t="s">
        <v>315</v>
      </c>
      <c r="B254" s="3">
        <v>55070</v>
      </c>
      <c r="C254" s="7" t="s">
        <v>390</v>
      </c>
      <c r="D254" s="7" t="s">
        <v>317</v>
      </c>
      <c r="E254" s="7" t="s">
        <v>408</v>
      </c>
      <c r="F254" s="44">
        <v>224662</v>
      </c>
    </row>
    <row r="255" spans="1:6" ht="15" hidden="1" customHeight="1">
      <c r="A255" s="7" t="s">
        <v>315</v>
      </c>
      <c r="B255" s="3">
        <v>55070</v>
      </c>
      <c r="C255" s="7" t="s">
        <v>390</v>
      </c>
      <c r="D255" s="7" t="s">
        <v>317</v>
      </c>
      <c r="E255" s="7" t="s">
        <v>409</v>
      </c>
      <c r="F255" s="44">
        <v>10348671</v>
      </c>
    </row>
    <row r="256" spans="1:6" ht="15" hidden="1" customHeight="1">
      <c r="A256" s="7" t="s">
        <v>315</v>
      </c>
      <c r="B256" s="3">
        <v>55070</v>
      </c>
      <c r="C256" s="7" t="s">
        <v>390</v>
      </c>
      <c r="D256" s="7" t="s">
        <v>317</v>
      </c>
      <c r="E256" s="7" t="s">
        <v>410</v>
      </c>
      <c r="F256" s="44">
        <v>14762142</v>
      </c>
    </row>
    <row r="257" spans="1:6" ht="15" hidden="1" customHeight="1">
      <c r="A257" s="7" t="s">
        <v>315</v>
      </c>
      <c r="B257" s="3">
        <v>55070</v>
      </c>
      <c r="C257" s="7" t="s">
        <v>390</v>
      </c>
      <c r="D257" s="7" t="s">
        <v>317</v>
      </c>
      <c r="E257" s="7" t="s">
        <v>411</v>
      </c>
      <c r="F257" s="44">
        <v>3292553</v>
      </c>
    </row>
    <row r="258" spans="1:6" ht="15" hidden="1" customHeight="1">
      <c r="A258" s="7" t="s">
        <v>315</v>
      </c>
      <c r="B258" s="3">
        <v>55070</v>
      </c>
      <c r="C258" s="7" t="s">
        <v>390</v>
      </c>
      <c r="D258" s="7" t="s">
        <v>317</v>
      </c>
      <c r="E258" s="7" t="s">
        <v>412</v>
      </c>
      <c r="F258" s="44">
        <v>76412</v>
      </c>
    </row>
    <row r="259" spans="1:6" ht="15" hidden="1" customHeight="1">
      <c r="A259" s="7" t="s">
        <v>315</v>
      </c>
      <c r="B259" s="3">
        <v>55070</v>
      </c>
      <c r="C259" s="7" t="s">
        <v>390</v>
      </c>
      <c r="D259" s="7" t="s">
        <v>317</v>
      </c>
      <c r="E259" s="7" t="s">
        <v>413</v>
      </c>
      <c r="F259" s="44">
        <v>56604524</v>
      </c>
    </row>
    <row r="260" spans="1:6" ht="15" hidden="1" customHeight="1">
      <c r="A260" s="7" t="s">
        <v>315</v>
      </c>
      <c r="B260" s="3">
        <v>55070</v>
      </c>
      <c r="C260" s="7" t="s">
        <v>390</v>
      </c>
      <c r="D260" s="7" t="s">
        <v>319</v>
      </c>
      <c r="E260" s="7" t="s">
        <v>350</v>
      </c>
      <c r="F260" s="44">
        <v>125428</v>
      </c>
    </row>
    <row r="261" spans="1:6" ht="15" hidden="1" customHeight="1">
      <c r="A261" s="7" t="s">
        <v>315</v>
      </c>
      <c r="B261" s="3">
        <v>55080</v>
      </c>
      <c r="C261" s="7" t="s">
        <v>390</v>
      </c>
      <c r="D261" s="7" t="s">
        <v>317</v>
      </c>
      <c r="E261" s="7" t="s">
        <v>414</v>
      </c>
      <c r="F261" s="44">
        <v>646510</v>
      </c>
    </row>
    <row r="262" spans="1:6" ht="15" hidden="1" customHeight="1">
      <c r="A262" s="7" t="s">
        <v>315</v>
      </c>
      <c r="B262" s="3">
        <v>55080</v>
      </c>
      <c r="C262" s="7" t="s">
        <v>390</v>
      </c>
      <c r="D262" s="7" t="s">
        <v>317</v>
      </c>
      <c r="E262" s="7" t="s">
        <v>411</v>
      </c>
      <c r="F262" s="44">
        <v>146836</v>
      </c>
    </row>
    <row r="263" spans="1:6" ht="15" hidden="1" customHeight="1">
      <c r="A263" s="7" t="s">
        <v>315</v>
      </c>
      <c r="B263" s="3">
        <v>55110</v>
      </c>
      <c r="C263" s="7" t="s">
        <v>390</v>
      </c>
      <c r="D263" s="7" t="s">
        <v>319</v>
      </c>
      <c r="E263" s="7" t="s">
        <v>321</v>
      </c>
      <c r="F263" s="44">
        <v>177668.96</v>
      </c>
    </row>
    <row r="264" spans="1:6" ht="15" hidden="1" customHeight="1">
      <c r="A264" s="7" t="s">
        <v>315</v>
      </c>
      <c r="B264" s="3">
        <v>55110</v>
      </c>
      <c r="C264" s="7" t="s">
        <v>390</v>
      </c>
      <c r="D264" s="7" t="s">
        <v>319</v>
      </c>
      <c r="E264" s="7" t="s">
        <v>323</v>
      </c>
      <c r="F264" s="44">
        <v>8181.29</v>
      </c>
    </row>
    <row r="265" spans="1:6" ht="15" hidden="1" customHeight="1">
      <c r="A265" s="7" t="s">
        <v>315</v>
      </c>
      <c r="B265" s="3">
        <v>55110</v>
      </c>
      <c r="C265" s="7" t="s">
        <v>390</v>
      </c>
      <c r="D265" s="7" t="s">
        <v>319</v>
      </c>
      <c r="E265" s="7" t="s">
        <v>326</v>
      </c>
      <c r="F265" s="44">
        <v>9836</v>
      </c>
    </row>
    <row r="266" spans="1:6" ht="15" hidden="1" customHeight="1">
      <c r="A266" s="7" t="s">
        <v>315</v>
      </c>
      <c r="B266" s="3">
        <v>55110</v>
      </c>
      <c r="C266" s="7" t="s">
        <v>390</v>
      </c>
      <c r="D266" s="7" t="s">
        <v>319</v>
      </c>
      <c r="E266" s="7" t="s">
        <v>327</v>
      </c>
      <c r="F266" s="44">
        <v>604.91</v>
      </c>
    </row>
    <row r="267" spans="1:6" ht="15" customHeight="1">
      <c r="A267" s="7" t="s">
        <v>315</v>
      </c>
      <c r="B267" s="3">
        <v>55110</v>
      </c>
      <c r="C267" s="7" t="s">
        <v>390</v>
      </c>
      <c r="D267" s="7" t="s">
        <v>319</v>
      </c>
      <c r="E267" s="7" t="s">
        <v>330</v>
      </c>
      <c r="F267" s="44">
        <v>490497.67</v>
      </c>
    </row>
    <row r="268" spans="1:6" ht="15" hidden="1" customHeight="1">
      <c r="A268" s="7" t="s">
        <v>315</v>
      </c>
      <c r="B268" s="3">
        <v>55110</v>
      </c>
      <c r="C268" s="7" t="s">
        <v>390</v>
      </c>
      <c r="D268" s="7" t="s">
        <v>319</v>
      </c>
      <c r="E268" s="7" t="s">
        <v>332</v>
      </c>
      <c r="F268" s="44">
        <v>250000</v>
      </c>
    </row>
    <row r="269" spans="1:6" ht="15" hidden="1" customHeight="1">
      <c r="A269" s="7" t="s">
        <v>315</v>
      </c>
      <c r="B269" s="3">
        <v>55110</v>
      </c>
      <c r="C269" s="7" t="s">
        <v>390</v>
      </c>
      <c r="D269" s="7" t="s">
        <v>319</v>
      </c>
      <c r="E269" s="7" t="s">
        <v>334</v>
      </c>
      <c r="F269" s="44">
        <v>52957.23</v>
      </c>
    </row>
    <row r="270" spans="1:6" ht="15" hidden="1" customHeight="1">
      <c r="A270" s="7" t="s">
        <v>315</v>
      </c>
      <c r="B270" s="3">
        <v>55110</v>
      </c>
      <c r="C270" s="7" t="s">
        <v>390</v>
      </c>
      <c r="D270" s="7" t="s">
        <v>319</v>
      </c>
      <c r="E270" s="7" t="s">
        <v>337</v>
      </c>
      <c r="F270" s="44">
        <v>256549.63</v>
      </c>
    </row>
    <row r="271" spans="1:6" ht="15" hidden="1" customHeight="1">
      <c r="A271" s="7" t="s">
        <v>315</v>
      </c>
      <c r="B271" s="3">
        <v>55110</v>
      </c>
      <c r="C271" s="7" t="s">
        <v>390</v>
      </c>
      <c r="D271" s="7" t="s">
        <v>319</v>
      </c>
      <c r="E271" s="7" t="s">
        <v>342</v>
      </c>
      <c r="F271" s="44">
        <v>31541.599999999999</v>
      </c>
    </row>
    <row r="272" spans="1:6" ht="15" hidden="1" customHeight="1">
      <c r="A272" s="7" t="s">
        <v>315</v>
      </c>
      <c r="B272" s="3">
        <v>55110</v>
      </c>
      <c r="C272" s="7" t="s">
        <v>390</v>
      </c>
      <c r="D272" s="7" t="s">
        <v>319</v>
      </c>
      <c r="E272" s="7" t="s">
        <v>346</v>
      </c>
      <c r="F272" s="44">
        <v>-1.49</v>
      </c>
    </row>
    <row r="273" spans="1:6" ht="15" hidden="1" customHeight="1">
      <c r="A273" s="7" t="s">
        <v>315</v>
      </c>
      <c r="B273" s="3">
        <v>55110</v>
      </c>
      <c r="C273" s="7" t="s">
        <v>390</v>
      </c>
      <c r="D273" s="7" t="s">
        <v>319</v>
      </c>
      <c r="E273" s="7" t="s">
        <v>348</v>
      </c>
      <c r="F273" s="44">
        <v>-0.21</v>
      </c>
    </row>
    <row r="274" spans="1:6" ht="15" customHeight="1">
      <c r="A274" s="7" t="s">
        <v>315</v>
      </c>
      <c r="B274" s="3">
        <v>55110</v>
      </c>
      <c r="C274" s="7" t="s">
        <v>390</v>
      </c>
      <c r="D274" s="7" t="s">
        <v>319</v>
      </c>
      <c r="E274" s="7" t="s">
        <v>350</v>
      </c>
      <c r="F274" s="44">
        <v>2240366</v>
      </c>
    </row>
    <row r="275" spans="1:6" ht="15" hidden="1" customHeight="1">
      <c r="A275" s="7" t="s">
        <v>315</v>
      </c>
      <c r="B275" s="3">
        <v>55110</v>
      </c>
      <c r="C275" s="7" t="s">
        <v>390</v>
      </c>
      <c r="D275" s="7" t="s">
        <v>319</v>
      </c>
      <c r="E275" s="7" t="s">
        <v>353</v>
      </c>
      <c r="F275" s="44">
        <v>-7342.91</v>
      </c>
    </row>
    <row r="276" spans="1:6" ht="15" customHeight="1">
      <c r="A276" s="7" t="s">
        <v>315</v>
      </c>
      <c r="B276" s="3">
        <v>55110</v>
      </c>
      <c r="C276" s="7" t="s">
        <v>390</v>
      </c>
      <c r="D276" s="7" t="s">
        <v>319</v>
      </c>
      <c r="E276" s="7" t="s">
        <v>360</v>
      </c>
      <c r="F276" s="44">
        <v>2543581</v>
      </c>
    </row>
    <row r="277" spans="1:6" ht="15" hidden="1" customHeight="1">
      <c r="A277" s="7" t="s">
        <v>315</v>
      </c>
      <c r="B277" s="3">
        <v>55110</v>
      </c>
      <c r="C277" s="7" t="s">
        <v>390</v>
      </c>
      <c r="D277" s="7" t="s">
        <v>319</v>
      </c>
      <c r="E277" s="7" t="s">
        <v>362</v>
      </c>
      <c r="F277" s="44">
        <v>61431</v>
      </c>
    </row>
    <row r="278" spans="1:6" ht="15" hidden="1" customHeight="1">
      <c r="A278" s="7" t="s">
        <v>315</v>
      </c>
      <c r="B278" s="3">
        <v>55110</v>
      </c>
      <c r="C278" s="7" t="s">
        <v>390</v>
      </c>
      <c r="D278" s="7" t="s">
        <v>319</v>
      </c>
      <c r="E278" s="7" t="s">
        <v>363</v>
      </c>
      <c r="F278" s="44">
        <v>25000</v>
      </c>
    </row>
  </sheetData>
  <autoFilter ref="A6:F278" xr:uid="{00000000-0001-0000-0A00-000000000000}">
    <filterColumn colId="3">
      <filters>
        <filter val="12060"/>
        <filter val="13010"/>
      </filters>
    </filterColumn>
    <filterColumn colId="5">
      <customFilters>
        <customFilter operator="greaterThan" val="300000"/>
      </customFilters>
    </filterColumn>
  </autoFilter>
  <hyperlinks>
    <hyperlink ref="D1" location="TOC!A1" display="Return to TOC" xr:uid="{00000000-0004-0000-0A00-000000000000}"/>
    <hyperlink ref="B2" location="'05-filter1'!A1" display="'05-filter1'!A1" xr:uid="{2B9CADAD-AADB-4104-8A84-3908D36D6351}"/>
  </hyperlink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7365D"/>
  </sheetPr>
  <dimension ref="A1:S130"/>
  <sheetViews>
    <sheetView tabSelected="1" workbookViewId="0">
      <selection activeCell="P22" sqref="P22"/>
    </sheetView>
  </sheetViews>
  <sheetFormatPr defaultColWidth="14.44140625" defaultRowHeight="15" customHeight="1"/>
  <cols>
    <col min="1" max="3" width="8.6640625" customWidth="1"/>
    <col min="4" max="4" width="12.88671875" customWidth="1"/>
    <col min="5" max="14" width="8.6640625" customWidth="1"/>
    <col min="15" max="15" width="12.44140625" customWidth="1"/>
    <col min="16" max="17" width="8.6640625" customWidth="1"/>
  </cols>
  <sheetData>
    <row r="1" spans="1:19" ht="12.75" customHeight="1">
      <c r="D1" s="2" t="s">
        <v>20</v>
      </c>
      <c r="G1" t="s">
        <v>418</v>
      </c>
    </row>
    <row r="2" spans="1:19" ht="12.75" customHeight="1">
      <c r="A2" s="47" t="s">
        <v>419</v>
      </c>
      <c r="Q2" s="46" t="s">
        <v>297</v>
      </c>
    </row>
    <row r="3" spans="1:19" ht="12.75" customHeight="1">
      <c r="Q3" t="s">
        <v>420</v>
      </c>
      <c r="S3" s="47"/>
    </row>
    <row r="4" spans="1:19" ht="12.75" customHeight="1">
      <c r="Q4" t="s">
        <v>421</v>
      </c>
    </row>
    <row r="5" spans="1:19" ht="12.75" customHeight="1">
      <c r="Q5" t="s">
        <v>422</v>
      </c>
    </row>
    <row r="6" spans="1:19" ht="12.75" customHeight="1">
      <c r="Q6" t="s">
        <v>423</v>
      </c>
    </row>
    <row r="7" spans="1:19" ht="12.75" customHeight="1">
      <c r="Q7" t="s">
        <v>424</v>
      </c>
    </row>
    <row r="8" spans="1:19" ht="12.75" customHeight="1">
      <c r="A8" s="46" t="s">
        <v>425</v>
      </c>
      <c r="B8" s="46" t="s">
        <v>313</v>
      </c>
      <c r="C8" s="46" t="s">
        <v>297</v>
      </c>
      <c r="D8" s="46" t="s">
        <v>426</v>
      </c>
      <c r="E8" s="46" t="s">
        <v>427</v>
      </c>
      <c r="F8" s="46" t="s">
        <v>296</v>
      </c>
      <c r="G8" s="46" t="s">
        <v>428</v>
      </c>
      <c r="H8" s="46" t="s">
        <v>429</v>
      </c>
      <c r="I8" s="46" t="s">
        <v>430</v>
      </c>
      <c r="J8" s="46" t="s">
        <v>431</v>
      </c>
      <c r="K8" s="46" t="s">
        <v>432</v>
      </c>
      <c r="L8" s="46" t="s">
        <v>433</v>
      </c>
      <c r="M8" s="46" t="s">
        <v>434</v>
      </c>
      <c r="N8" s="46" t="s">
        <v>435</v>
      </c>
      <c r="O8" s="46" t="s">
        <v>310</v>
      </c>
      <c r="Q8" t="s">
        <v>436</v>
      </c>
    </row>
    <row r="9" spans="1:19" ht="12.75" customHeight="1">
      <c r="A9" t="s">
        <v>437</v>
      </c>
      <c r="B9" t="s">
        <v>438</v>
      </c>
      <c r="C9" t="s">
        <v>421</v>
      </c>
      <c r="D9" t="s">
        <v>439</v>
      </c>
      <c r="E9" t="s">
        <v>440</v>
      </c>
      <c r="F9" t="s">
        <v>441</v>
      </c>
      <c r="G9" t="s">
        <v>442</v>
      </c>
      <c r="H9">
        <v>2011</v>
      </c>
      <c r="I9">
        <v>2</v>
      </c>
      <c r="J9" t="s">
        <v>443</v>
      </c>
      <c r="K9" t="s">
        <v>444</v>
      </c>
      <c r="L9">
        <v>45044</v>
      </c>
      <c r="M9">
        <v>40391</v>
      </c>
      <c r="N9" t="s">
        <v>445</v>
      </c>
      <c r="O9" t="s">
        <v>315</v>
      </c>
      <c r="Q9" t="s">
        <v>446</v>
      </c>
    </row>
    <row r="10" spans="1:19" ht="12.75" customHeight="1">
      <c r="A10" t="s">
        <v>437</v>
      </c>
      <c r="B10" t="s">
        <v>438</v>
      </c>
      <c r="C10" t="s">
        <v>421</v>
      </c>
      <c r="D10" t="s">
        <v>439</v>
      </c>
      <c r="E10" t="s">
        <v>440</v>
      </c>
      <c r="F10" t="s">
        <v>441</v>
      </c>
      <c r="G10" t="s">
        <v>442</v>
      </c>
      <c r="H10">
        <v>2011</v>
      </c>
      <c r="I10">
        <v>2</v>
      </c>
      <c r="J10" t="s">
        <v>447</v>
      </c>
      <c r="K10" t="s">
        <v>444</v>
      </c>
      <c r="L10">
        <v>11228.75</v>
      </c>
      <c r="M10">
        <v>40391</v>
      </c>
      <c r="N10" t="s">
        <v>445</v>
      </c>
      <c r="O10" t="s">
        <v>315</v>
      </c>
    </row>
    <row r="11" spans="1:19" ht="12.75" customHeight="1">
      <c r="A11" t="s">
        <v>437</v>
      </c>
      <c r="B11" t="s">
        <v>438</v>
      </c>
      <c r="C11" t="s">
        <v>421</v>
      </c>
      <c r="D11" t="s">
        <v>439</v>
      </c>
      <c r="E11" t="s">
        <v>440</v>
      </c>
      <c r="F11" t="s">
        <v>441</v>
      </c>
      <c r="G11" t="s">
        <v>442</v>
      </c>
      <c r="H11">
        <v>2011</v>
      </c>
      <c r="I11">
        <v>2</v>
      </c>
      <c r="J11" t="s">
        <v>448</v>
      </c>
      <c r="K11" t="s">
        <v>444</v>
      </c>
      <c r="L11">
        <v>1567610</v>
      </c>
      <c r="M11">
        <v>40392</v>
      </c>
      <c r="N11" t="s">
        <v>449</v>
      </c>
      <c r="O11" t="s">
        <v>315</v>
      </c>
    </row>
    <row r="12" spans="1:19" ht="12.75" customHeight="1">
      <c r="A12" t="s">
        <v>437</v>
      </c>
      <c r="B12" t="s">
        <v>450</v>
      </c>
      <c r="C12" t="s">
        <v>446</v>
      </c>
      <c r="D12" t="s">
        <v>439</v>
      </c>
      <c r="E12" t="s">
        <v>440</v>
      </c>
      <c r="F12" t="s">
        <v>441</v>
      </c>
      <c r="G12" t="s">
        <v>442</v>
      </c>
      <c r="H12">
        <v>2011</v>
      </c>
      <c r="I12">
        <v>2</v>
      </c>
      <c r="J12" t="s">
        <v>448</v>
      </c>
      <c r="K12" t="s">
        <v>444</v>
      </c>
      <c r="L12">
        <v>2000000</v>
      </c>
      <c r="M12">
        <v>40392</v>
      </c>
      <c r="N12" t="s">
        <v>449</v>
      </c>
      <c r="O12" t="s">
        <v>315</v>
      </c>
    </row>
    <row r="13" spans="1:19" ht="12.75" customHeight="1">
      <c r="A13" t="s">
        <v>437</v>
      </c>
      <c r="B13" t="s">
        <v>438</v>
      </c>
      <c r="C13" t="s">
        <v>451</v>
      </c>
      <c r="D13" t="s">
        <v>439</v>
      </c>
      <c r="E13" t="s">
        <v>440</v>
      </c>
      <c r="F13" t="s">
        <v>441</v>
      </c>
      <c r="G13" t="s">
        <v>442</v>
      </c>
      <c r="H13">
        <v>2011</v>
      </c>
      <c r="I13">
        <v>2</v>
      </c>
      <c r="J13" t="s">
        <v>452</v>
      </c>
      <c r="K13" t="s">
        <v>444</v>
      </c>
      <c r="L13">
        <v>22793.98</v>
      </c>
      <c r="M13">
        <v>40392</v>
      </c>
      <c r="N13" t="s">
        <v>453</v>
      </c>
      <c r="O13" t="s">
        <v>315</v>
      </c>
    </row>
    <row r="14" spans="1:19" ht="12.75" customHeight="1">
      <c r="A14" t="s">
        <v>437</v>
      </c>
      <c r="B14" t="s">
        <v>438</v>
      </c>
      <c r="C14" t="s">
        <v>421</v>
      </c>
      <c r="D14" t="s">
        <v>439</v>
      </c>
      <c r="E14" t="s">
        <v>440</v>
      </c>
      <c r="F14" t="s">
        <v>441</v>
      </c>
      <c r="G14" t="s">
        <v>442</v>
      </c>
      <c r="H14">
        <v>2011</v>
      </c>
      <c r="I14">
        <v>2</v>
      </c>
      <c r="J14" t="s">
        <v>454</v>
      </c>
      <c r="K14" t="s">
        <v>444</v>
      </c>
      <c r="L14">
        <v>51159.31</v>
      </c>
      <c r="M14">
        <v>40392</v>
      </c>
      <c r="N14" t="s">
        <v>453</v>
      </c>
      <c r="O14" t="s">
        <v>315</v>
      </c>
    </row>
    <row r="15" spans="1:19" ht="12.75" customHeight="1">
      <c r="A15" t="s">
        <v>437</v>
      </c>
      <c r="B15" t="s">
        <v>455</v>
      </c>
      <c r="C15" t="s">
        <v>436</v>
      </c>
      <c r="D15" t="s">
        <v>456</v>
      </c>
      <c r="E15" t="s">
        <v>457</v>
      </c>
      <c r="F15" t="s">
        <v>458</v>
      </c>
      <c r="G15" t="s">
        <v>442</v>
      </c>
      <c r="H15">
        <v>2011</v>
      </c>
      <c r="I15">
        <v>2</v>
      </c>
      <c r="J15" t="s">
        <v>459</v>
      </c>
      <c r="K15" t="s">
        <v>460</v>
      </c>
      <c r="L15">
        <v>57506.11</v>
      </c>
      <c r="M15">
        <v>40393</v>
      </c>
      <c r="N15" t="s">
        <v>461</v>
      </c>
      <c r="O15" t="s">
        <v>315</v>
      </c>
    </row>
    <row r="16" spans="1:19" ht="12.75" customHeight="1">
      <c r="A16" t="s">
        <v>437</v>
      </c>
      <c r="B16" t="s">
        <v>455</v>
      </c>
      <c r="C16" t="s">
        <v>436</v>
      </c>
      <c r="D16" t="s">
        <v>456</v>
      </c>
      <c r="E16" t="s">
        <v>457</v>
      </c>
      <c r="F16" t="s">
        <v>458</v>
      </c>
      <c r="G16" t="s">
        <v>442</v>
      </c>
      <c r="H16">
        <v>2011</v>
      </c>
      <c r="I16">
        <v>2</v>
      </c>
      <c r="J16" t="s">
        <v>459</v>
      </c>
      <c r="K16" t="s">
        <v>460</v>
      </c>
      <c r="L16">
        <v>25871.18</v>
      </c>
      <c r="M16">
        <v>40393</v>
      </c>
      <c r="N16" t="s">
        <v>461</v>
      </c>
      <c r="O16" t="s">
        <v>315</v>
      </c>
    </row>
    <row r="17" spans="1:15" ht="12.75" customHeight="1">
      <c r="A17" t="s">
        <v>437</v>
      </c>
      <c r="B17" t="s">
        <v>455</v>
      </c>
      <c r="C17" t="s">
        <v>436</v>
      </c>
      <c r="D17" t="s">
        <v>462</v>
      </c>
      <c r="E17" t="s">
        <v>457</v>
      </c>
      <c r="F17" t="s">
        <v>458</v>
      </c>
      <c r="G17" t="s">
        <v>442</v>
      </c>
      <c r="H17">
        <v>2011</v>
      </c>
      <c r="I17">
        <v>2</v>
      </c>
      <c r="J17" t="s">
        <v>459</v>
      </c>
      <c r="K17" t="s">
        <v>460</v>
      </c>
      <c r="L17">
        <v>24652.06</v>
      </c>
      <c r="M17">
        <v>40393</v>
      </c>
      <c r="N17" t="s">
        <v>461</v>
      </c>
      <c r="O17" t="s">
        <v>315</v>
      </c>
    </row>
    <row r="18" spans="1:15" ht="12.75" customHeight="1">
      <c r="A18" t="s">
        <v>437</v>
      </c>
      <c r="B18" t="s">
        <v>438</v>
      </c>
      <c r="C18" t="s">
        <v>420</v>
      </c>
      <c r="D18" t="s">
        <v>462</v>
      </c>
      <c r="E18" t="s">
        <v>457</v>
      </c>
      <c r="F18" t="s">
        <v>458</v>
      </c>
      <c r="G18" t="s">
        <v>442</v>
      </c>
      <c r="H18">
        <v>2011</v>
      </c>
      <c r="I18">
        <v>2</v>
      </c>
      <c r="J18" t="s">
        <v>463</v>
      </c>
      <c r="K18" t="s">
        <v>444</v>
      </c>
      <c r="L18">
        <v>779.05</v>
      </c>
      <c r="M18">
        <v>40393</v>
      </c>
      <c r="N18" t="s">
        <v>461</v>
      </c>
      <c r="O18" t="s">
        <v>315</v>
      </c>
    </row>
    <row r="19" spans="1:15" ht="12.75" customHeight="1">
      <c r="A19" t="s">
        <v>437</v>
      </c>
      <c r="B19" t="s">
        <v>455</v>
      </c>
      <c r="C19" t="s">
        <v>436</v>
      </c>
      <c r="D19" t="s">
        <v>456</v>
      </c>
      <c r="E19" t="s">
        <v>457</v>
      </c>
      <c r="F19" t="s">
        <v>458</v>
      </c>
      <c r="G19" t="s">
        <v>442</v>
      </c>
      <c r="H19">
        <v>2011</v>
      </c>
      <c r="I19">
        <v>2</v>
      </c>
      <c r="J19" t="s">
        <v>459</v>
      </c>
      <c r="K19" t="s">
        <v>460</v>
      </c>
      <c r="L19">
        <v>54183.5</v>
      </c>
      <c r="M19">
        <v>40393</v>
      </c>
      <c r="N19" t="s">
        <v>461</v>
      </c>
      <c r="O19" t="s">
        <v>315</v>
      </c>
    </row>
    <row r="20" spans="1:15" ht="12.75" customHeight="1">
      <c r="A20" t="s">
        <v>437</v>
      </c>
      <c r="B20" t="s">
        <v>455</v>
      </c>
      <c r="C20" t="s">
        <v>424</v>
      </c>
      <c r="D20" t="s">
        <v>456</v>
      </c>
      <c r="E20" t="s">
        <v>457</v>
      </c>
      <c r="F20" t="s">
        <v>458</v>
      </c>
      <c r="G20" t="s">
        <v>442</v>
      </c>
      <c r="H20">
        <v>2011</v>
      </c>
      <c r="I20">
        <v>2</v>
      </c>
      <c r="J20" t="s">
        <v>464</v>
      </c>
      <c r="K20" t="s">
        <v>444</v>
      </c>
      <c r="L20">
        <v>9076.43</v>
      </c>
      <c r="M20">
        <v>40393</v>
      </c>
      <c r="N20" t="s">
        <v>461</v>
      </c>
      <c r="O20" t="s">
        <v>315</v>
      </c>
    </row>
    <row r="21" spans="1:15" ht="12.75" customHeight="1">
      <c r="A21" t="s">
        <v>437</v>
      </c>
      <c r="B21" t="s">
        <v>455</v>
      </c>
      <c r="C21" t="s">
        <v>424</v>
      </c>
      <c r="D21" t="s">
        <v>462</v>
      </c>
      <c r="E21" t="s">
        <v>457</v>
      </c>
      <c r="F21" t="s">
        <v>458</v>
      </c>
      <c r="G21" t="s">
        <v>442</v>
      </c>
      <c r="H21">
        <v>2011</v>
      </c>
      <c r="I21">
        <v>2</v>
      </c>
      <c r="J21" t="s">
        <v>463</v>
      </c>
      <c r="K21" t="s">
        <v>444</v>
      </c>
      <c r="L21">
        <v>6232.35</v>
      </c>
      <c r="M21">
        <v>40393</v>
      </c>
      <c r="N21" t="s">
        <v>461</v>
      </c>
      <c r="O21" t="s">
        <v>315</v>
      </c>
    </row>
    <row r="22" spans="1:15" ht="12.75" customHeight="1">
      <c r="A22" t="s">
        <v>437</v>
      </c>
      <c r="B22" t="s">
        <v>455</v>
      </c>
      <c r="C22" t="s">
        <v>436</v>
      </c>
      <c r="D22" t="s">
        <v>456</v>
      </c>
      <c r="E22" t="s">
        <v>457</v>
      </c>
      <c r="F22" t="s">
        <v>458</v>
      </c>
      <c r="G22" t="s">
        <v>442</v>
      </c>
      <c r="H22">
        <v>2011</v>
      </c>
      <c r="I22">
        <v>2</v>
      </c>
      <c r="J22" t="s">
        <v>459</v>
      </c>
      <c r="K22" t="s">
        <v>460</v>
      </c>
      <c r="L22">
        <v>22125.19</v>
      </c>
      <c r="M22">
        <v>40393</v>
      </c>
      <c r="N22" t="s">
        <v>461</v>
      </c>
      <c r="O22" t="s">
        <v>315</v>
      </c>
    </row>
    <row r="23" spans="1:15" ht="12.75" customHeight="1">
      <c r="A23" t="s">
        <v>437</v>
      </c>
      <c r="B23" t="s">
        <v>438</v>
      </c>
      <c r="C23" t="s">
        <v>451</v>
      </c>
      <c r="D23" t="s">
        <v>439</v>
      </c>
      <c r="E23" t="s">
        <v>440</v>
      </c>
      <c r="F23" t="s">
        <v>441</v>
      </c>
      <c r="G23" t="s">
        <v>442</v>
      </c>
      <c r="H23">
        <v>2011</v>
      </c>
      <c r="I23">
        <v>2</v>
      </c>
      <c r="J23" t="s">
        <v>465</v>
      </c>
      <c r="K23" t="s">
        <v>444</v>
      </c>
      <c r="L23">
        <v>38036.14</v>
      </c>
      <c r="M23">
        <v>40394</v>
      </c>
      <c r="N23" t="s">
        <v>466</v>
      </c>
      <c r="O23" t="s">
        <v>315</v>
      </c>
    </row>
    <row r="24" spans="1:15" ht="12.75" customHeight="1">
      <c r="A24" t="s">
        <v>437</v>
      </c>
      <c r="B24" t="s">
        <v>438</v>
      </c>
      <c r="C24" t="s">
        <v>421</v>
      </c>
      <c r="D24" t="s">
        <v>439</v>
      </c>
      <c r="E24" t="s">
        <v>440</v>
      </c>
      <c r="F24" t="s">
        <v>467</v>
      </c>
      <c r="G24" t="s">
        <v>442</v>
      </c>
      <c r="H24">
        <v>2011</v>
      </c>
      <c r="I24">
        <v>2</v>
      </c>
      <c r="J24" t="s">
        <v>468</v>
      </c>
      <c r="K24" t="s">
        <v>444</v>
      </c>
      <c r="L24">
        <v>1250</v>
      </c>
      <c r="M24">
        <v>40394</v>
      </c>
      <c r="N24" t="s">
        <v>466</v>
      </c>
      <c r="O24" t="s">
        <v>315</v>
      </c>
    </row>
    <row r="25" spans="1:15" ht="12.75" customHeight="1">
      <c r="A25" t="s">
        <v>437</v>
      </c>
      <c r="B25" t="s">
        <v>438</v>
      </c>
      <c r="C25" t="s">
        <v>421</v>
      </c>
      <c r="D25" t="s">
        <v>439</v>
      </c>
      <c r="E25" t="s">
        <v>440</v>
      </c>
      <c r="F25" t="s">
        <v>467</v>
      </c>
      <c r="G25" t="s">
        <v>442</v>
      </c>
      <c r="H25">
        <v>2011</v>
      </c>
      <c r="I25">
        <v>2</v>
      </c>
      <c r="J25" t="s">
        <v>469</v>
      </c>
      <c r="K25" t="s">
        <v>444</v>
      </c>
      <c r="L25">
        <v>2000</v>
      </c>
      <c r="M25">
        <v>40394</v>
      </c>
      <c r="N25" t="s">
        <v>470</v>
      </c>
      <c r="O25" t="s">
        <v>315</v>
      </c>
    </row>
    <row r="26" spans="1:15" ht="12.75" customHeight="1">
      <c r="A26" t="s">
        <v>437</v>
      </c>
      <c r="B26" t="s">
        <v>438</v>
      </c>
      <c r="C26" t="s">
        <v>421</v>
      </c>
      <c r="D26" t="s">
        <v>439</v>
      </c>
      <c r="E26" t="s">
        <v>440</v>
      </c>
      <c r="F26" t="s">
        <v>441</v>
      </c>
      <c r="G26" t="s">
        <v>442</v>
      </c>
      <c r="H26">
        <v>2011</v>
      </c>
      <c r="I26">
        <v>2</v>
      </c>
      <c r="J26" t="s">
        <v>443</v>
      </c>
      <c r="K26" t="s">
        <v>444</v>
      </c>
      <c r="L26">
        <v>16295</v>
      </c>
      <c r="M26">
        <v>40394</v>
      </c>
      <c r="N26" t="s">
        <v>470</v>
      </c>
      <c r="O26" t="s">
        <v>315</v>
      </c>
    </row>
    <row r="27" spans="1:15" ht="12.75" customHeight="1">
      <c r="A27" t="s">
        <v>437</v>
      </c>
      <c r="B27" t="s">
        <v>455</v>
      </c>
      <c r="C27" t="s">
        <v>471</v>
      </c>
      <c r="D27" t="s">
        <v>439</v>
      </c>
      <c r="E27" t="s">
        <v>440</v>
      </c>
      <c r="F27" t="s">
        <v>441</v>
      </c>
      <c r="G27" t="s">
        <v>442</v>
      </c>
      <c r="H27">
        <v>2011</v>
      </c>
      <c r="I27">
        <v>2</v>
      </c>
      <c r="J27" t="s">
        <v>472</v>
      </c>
      <c r="K27" t="s">
        <v>444</v>
      </c>
      <c r="L27">
        <v>16507.830000000002</v>
      </c>
      <c r="M27">
        <v>40394</v>
      </c>
      <c r="N27" t="s">
        <v>470</v>
      </c>
      <c r="O27" t="s">
        <v>315</v>
      </c>
    </row>
    <row r="28" spans="1:15" ht="12.75" customHeight="1">
      <c r="A28" t="s">
        <v>437</v>
      </c>
      <c r="B28" t="s">
        <v>438</v>
      </c>
      <c r="C28" t="s">
        <v>421</v>
      </c>
      <c r="D28" t="s">
        <v>439</v>
      </c>
      <c r="E28" t="s">
        <v>440</v>
      </c>
      <c r="F28" t="s">
        <v>467</v>
      </c>
      <c r="G28" t="s">
        <v>442</v>
      </c>
      <c r="H28">
        <v>2011</v>
      </c>
      <c r="I28">
        <v>2</v>
      </c>
      <c r="J28" t="s">
        <v>473</v>
      </c>
      <c r="K28" t="s">
        <v>444</v>
      </c>
      <c r="L28">
        <v>2600</v>
      </c>
      <c r="M28">
        <v>40394</v>
      </c>
      <c r="N28" t="s">
        <v>470</v>
      </c>
      <c r="O28" t="s">
        <v>315</v>
      </c>
    </row>
    <row r="29" spans="1:15" ht="12.75" customHeight="1">
      <c r="A29" t="s">
        <v>437</v>
      </c>
      <c r="B29" t="s">
        <v>455</v>
      </c>
      <c r="C29" t="s">
        <v>422</v>
      </c>
      <c r="D29" t="s">
        <v>439</v>
      </c>
      <c r="E29" t="s">
        <v>440</v>
      </c>
      <c r="F29" t="s">
        <v>441</v>
      </c>
      <c r="G29" t="s">
        <v>442</v>
      </c>
      <c r="H29">
        <v>2011</v>
      </c>
      <c r="I29">
        <v>2</v>
      </c>
      <c r="J29" t="s">
        <v>474</v>
      </c>
      <c r="K29" t="s">
        <v>444</v>
      </c>
      <c r="L29">
        <v>78372.800000000003</v>
      </c>
      <c r="M29">
        <v>40394</v>
      </c>
      <c r="N29" t="s">
        <v>470</v>
      </c>
      <c r="O29" t="s">
        <v>315</v>
      </c>
    </row>
    <row r="30" spans="1:15" ht="12.75" customHeight="1">
      <c r="A30" t="s">
        <v>437</v>
      </c>
      <c r="B30" t="s">
        <v>455</v>
      </c>
      <c r="C30" t="s">
        <v>422</v>
      </c>
      <c r="D30" t="s">
        <v>439</v>
      </c>
      <c r="E30" t="s">
        <v>440</v>
      </c>
      <c r="F30" t="s">
        <v>441</v>
      </c>
      <c r="G30" t="s">
        <v>442</v>
      </c>
      <c r="H30">
        <v>2011</v>
      </c>
      <c r="I30">
        <v>2</v>
      </c>
      <c r="J30" t="s">
        <v>474</v>
      </c>
      <c r="K30" t="s">
        <v>444</v>
      </c>
      <c r="L30">
        <v>40000</v>
      </c>
      <c r="M30">
        <v>40395</v>
      </c>
      <c r="N30" t="s">
        <v>475</v>
      </c>
      <c r="O30" t="s">
        <v>315</v>
      </c>
    </row>
    <row r="31" spans="1:15" ht="12.75" customHeight="1">
      <c r="A31" t="s">
        <v>437</v>
      </c>
      <c r="B31" t="s">
        <v>455</v>
      </c>
      <c r="C31" t="s">
        <v>436</v>
      </c>
      <c r="D31" t="s">
        <v>456</v>
      </c>
      <c r="E31" t="s">
        <v>457</v>
      </c>
      <c r="F31" t="s">
        <v>458</v>
      </c>
      <c r="G31" t="s">
        <v>442</v>
      </c>
      <c r="H31">
        <v>2011</v>
      </c>
      <c r="I31">
        <v>2</v>
      </c>
      <c r="J31" t="s">
        <v>459</v>
      </c>
      <c r="K31" t="s">
        <v>460</v>
      </c>
      <c r="L31">
        <v>36719.01</v>
      </c>
      <c r="M31">
        <v>40395</v>
      </c>
      <c r="N31" t="s">
        <v>475</v>
      </c>
      <c r="O31" t="s">
        <v>315</v>
      </c>
    </row>
    <row r="32" spans="1:15" ht="12.75" customHeight="1">
      <c r="A32" t="s">
        <v>437</v>
      </c>
      <c r="B32" t="s">
        <v>455</v>
      </c>
      <c r="C32" t="s">
        <v>436</v>
      </c>
      <c r="D32" t="s">
        <v>456</v>
      </c>
      <c r="E32" t="s">
        <v>457</v>
      </c>
      <c r="F32" t="s">
        <v>458</v>
      </c>
      <c r="G32" t="s">
        <v>442</v>
      </c>
      <c r="H32">
        <v>2011</v>
      </c>
      <c r="I32">
        <v>2</v>
      </c>
      <c r="J32" t="s">
        <v>459</v>
      </c>
      <c r="K32" t="s">
        <v>460</v>
      </c>
      <c r="L32">
        <v>292.05</v>
      </c>
      <c r="M32">
        <v>40395</v>
      </c>
      <c r="N32" t="s">
        <v>475</v>
      </c>
      <c r="O32" t="s">
        <v>315</v>
      </c>
    </row>
    <row r="33" spans="1:15" ht="12.75" customHeight="1">
      <c r="A33" t="s">
        <v>437</v>
      </c>
      <c r="B33" t="s">
        <v>455</v>
      </c>
      <c r="C33" t="s">
        <v>436</v>
      </c>
      <c r="D33" t="s">
        <v>462</v>
      </c>
      <c r="E33" t="s">
        <v>457</v>
      </c>
      <c r="F33" t="s">
        <v>458</v>
      </c>
      <c r="G33" t="s">
        <v>442</v>
      </c>
      <c r="H33">
        <v>2011</v>
      </c>
      <c r="I33">
        <v>2</v>
      </c>
      <c r="J33" t="s">
        <v>459</v>
      </c>
      <c r="K33" t="s">
        <v>460</v>
      </c>
      <c r="L33">
        <v>130536.71</v>
      </c>
      <c r="M33">
        <v>40395</v>
      </c>
      <c r="N33" t="s">
        <v>475</v>
      </c>
      <c r="O33" t="s">
        <v>315</v>
      </c>
    </row>
    <row r="34" spans="1:15" ht="12.75" customHeight="1">
      <c r="A34" t="s">
        <v>437</v>
      </c>
      <c r="B34" t="s">
        <v>438</v>
      </c>
      <c r="C34" t="s">
        <v>421</v>
      </c>
      <c r="D34" t="s">
        <v>439</v>
      </c>
      <c r="E34" t="s">
        <v>440</v>
      </c>
      <c r="F34" t="s">
        <v>441</v>
      </c>
      <c r="G34" t="s">
        <v>442</v>
      </c>
      <c r="H34">
        <v>2011</v>
      </c>
      <c r="I34">
        <v>2</v>
      </c>
      <c r="J34" t="s">
        <v>476</v>
      </c>
      <c r="K34" t="s">
        <v>444</v>
      </c>
      <c r="L34">
        <v>12238.12</v>
      </c>
      <c r="M34">
        <v>40396</v>
      </c>
      <c r="N34" t="s">
        <v>477</v>
      </c>
      <c r="O34" t="s">
        <v>315</v>
      </c>
    </row>
    <row r="35" spans="1:15" ht="12.75" customHeight="1">
      <c r="A35" t="s">
        <v>437</v>
      </c>
      <c r="B35" t="s">
        <v>438</v>
      </c>
      <c r="C35" t="s">
        <v>421</v>
      </c>
      <c r="D35" t="s">
        <v>439</v>
      </c>
      <c r="E35" t="s">
        <v>440</v>
      </c>
      <c r="F35" t="s">
        <v>441</v>
      </c>
      <c r="G35" t="s">
        <v>442</v>
      </c>
      <c r="H35">
        <v>2011</v>
      </c>
      <c r="I35">
        <v>2</v>
      </c>
      <c r="J35" t="s">
        <v>478</v>
      </c>
      <c r="K35" t="s">
        <v>444</v>
      </c>
      <c r="L35">
        <v>33909.879999999997</v>
      </c>
      <c r="M35">
        <v>40396</v>
      </c>
      <c r="N35" t="s">
        <v>477</v>
      </c>
      <c r="O35" t="s">
        <v>315</v>
      </c>
    </row>
    <row r="36" spans="1:15" ht="12.75" customHeight="1">
      <c r="A36" t="s">
        <v>437</v>
      </c>
      <c r="B36" t="s">
        <v>438</v>
      </c>
      <c r="C36" t="s">
        <v>421</v>
      </c>
      <c r="D36" t="s">
        <v>439</v>
      </c>
      <c r="E36" t="s">
        <v>440</v>
      </c>
      <c r="F36" t="s">
        <v>441</v>
      </c>
      <c r="G36" t="s">
        <v>442</v>
      </c>
      <c r="H36">
        <v>2011</v>
      </c>
      <c r="I36">
        <v>2</v>
      </c>
      <c r="J36" t="s">
        <v>479</v>
      </c>
      <c r="K36" t="s">
        <v>444</v>
      </c>
      <c r="L36">
        <v>283731.69</v>
      </c>
      <c r="M36">
        <v>40396</v>
      </c>
      <c r="N36" t="s">
        <v>477</v>
      </c>
      <c r="O36" t="s">
        <v>315</v>
      </c>
    </row>
    <row r="37" spans="1:15" ht="12.75" customHeight="1">
      <c r="A37" t="s">
        <v>437</v>
      </c>
      <c r="B37" t="s">
        <v>455</v>
      </c>
      <c r="C37" t="s">
        <v>436</v>
      </c>
      <c r="D37" t="s">
        <v>456</v>
      </c>
      <c r="E37" t="s">
        <v>457</v>
      </c>
      <c r="F37" t="s">
        <v>458</v>
      </c>
      <c r="G37" t="s">
        <v>442</v>
      </c>
      <c r="H37">
        <v>2011</v>
      </c>
      <c r="I37">
        <v>2</v>
      </c>
      <c r="J37" t="s">
        <v>459</v>
      </c>
      <c r="K37" t="s">
        <v>460</v>
      </c>
      <c r="L37">
        <v>34690.86</v>
      </c>
      <c r="M37">
        <v>40396</v>
      </c>
      <c r="N37" t="s">
        <v>480</v>
      </c>
      <c r="O37" t="s">
        <v>315</v>
      </c>
    </row>
    <row r="38" spans="1:15" ht="12.75" customHeight="1">
      <c r="A38" t="s">
        <v>437</v>
      </c>
      <c r="B38" t="s">
        <v>438</v>
      </c>
      <c r="C38" t="s">
        <v>421</v>
      </c>
      <c r="D38" t="s">
        <v>439</v>
      </c>
      <c r="E38" t="s">
        <v>440</v>
      </c>
      <c r="F38" t="s">
        <v>481</v>
      </c>
      <c r="G38" t="s">
        <v>442</v>
      </c>
      <c r="H38">
        <v>2011</v>
      </c>
      <c r="I38">
        <v>2</v>
      </c>
      <c r="J38" t="s">
        <v>482</v>
      </c>
      <c r="K38" t="s">
        <v>483</v>
      </c>
      <c r="L38">
        <v>854.2</v>
      </c>
      <c r="M38">
        <v>40399</v>
      </c>
      <c r="N38" t="s">
        <v>484</v>
      </c>
      <c r="O38" t="s">
        <v>315</v>
      </c>
    </row>
    <row r="39" spans="1:15" ht="12.75" customHeight="1">
      <c r="A39" t="s">
        <v>437</v>
      </c>
      <c r="B39" t="s">
        <v>438</v>
      </c>
      <c r="C39" t="s">
        <v>421</v>
      </c>
      <c r="D39" t="s">
        <v>439</v>
      </c>
      <c r="E39" t="s">
        <v>440</v>
      </c>
      <c r="F39" t="s">
        <v>441</v>
      </c>
      <c r="G39" t="s">
        <v>442</v>
      </c>
      <c r="H39">
        <v>2011</v>
      </c>
      <c r="I39">
        <v>2</v>
      </c>
      <c r="J39" t="s">
        <v>485</v>
      </c>
      <c r="K39" t="s">
        <v>444</v>
      </c>
      <c r="L39">
        <v>137189.37</v>
      </c>
      <c r="M39">
        <v>40399</v>
      </c>
      <c r="N39" t="s">
        <v>484</v>
      </c>
      <c r="O39" t="s">
        <v>315</v>
      </c>
    </row>
    <row r="40" spans="1:15" ht="12.75" customHeight="1">
      <c r="A40" t="s">
        <v>437</v>
      </c>
      <c r="B40" t="s">
        <v>438</v>
      </c>
      <c r="C40" t="s">
        <v>421</v>
      </c>
      <c r="D40" t="s">
        <v>439</v>
      </c>
      <c r="E40" t="s">
        <v>440</v>
      </c>
      <c r="F40" t="s">
        <v>441</v>
      </c>
      <c r="G40" t="s">
        <v>442</v>
      </c>
      <c r="H40">
        <v>2011</v>
      </c>
      <c r="I40">
        <v>2</v>
      </c>
      <c r="J40" t="s">
        <v>486</v>
      </c>
      <c r="K40" t="s">
        <v>444</v>
      </c>
      <c r="L40">
        <v>2965.2</v>
      </c>
      <c r="M40">
        <v>40399</v>
      </c>
      <c r="N40" t="s">
        <v>484</v>
      </c>
      <c r="O40" t="s">
        <v>315</v>
      </c>
    </row>
    <row r="41" spans="1:15" ht="12.75" customHeight="1">
      <c r="A41" t="s">
        <v>437</v>
      </c>
      <c r="B41" t="s">
        <v>438</v>
      </c>
      <c r="C41" t="s">
        <v>421</v>
      </c>
      <c r="D41" t="s">
        <v>439</v>
      </c>
      <c r="E41" t="s">
        <v>440</v>
      </c>
      <c r="F41" t="s">
        <v>441</v>
      </c>
      <c r="G41" t="s">
        <v>442</v>
      </c>
      <c r="H41">
        <v>2011</v>
      </c>
      <c r="I41">
        <v>2</v>
      </c>
      <c r="J41" t="s">
        <v>447</v>
      </c>
      <c r="K41" t="s">
        <v>444</v>
      </c>
      <c r="L41">
        <v>2831.75</v>
      </c>
      <c r="M41">
        <v>40399</v>
      </c>
      <c r="N41" t="s">
        <v>484</v>
      </c>
      <c r="O41" t="s">
        <v>315</v>
      </c>
    </row>
    <row r="42" spans="1:15" ht="12.75" customHeight="1">
      <c r="A42" t="s">
        <v>437</v>
      </c>
      <c r="B42" t="s">
        <v>438</v>
      </c>
      <c r="C42" t="s">
        <v>487</v>
      </c>
      <c r="D42" t="s">
        <v>439</v>
      </c>
      <c r="E42" t="s">
        <v>488</v>
      </c>
      <c r="F42" t="s">
        <v>441</v>
      </c>
      <c r="G42" t="s">
        <v>442</v>
      </c>
      <c r="H42">
        <v>2011</v>
      </c>
      <c r="I42">
        <v>2</v>
      </c>
      <c r="J42" t="s">
        <v>489</v>
      </c>
      <c r="K42" t="s">
        <v>444</v>
      </c>
      <c r="L42">
        <v>16902.14</v>
      </c>
      <c r="M42">
        <v>40401</v>
      </c>
      <c r="N42" t="s">
        <v>490</v>
      </c>
      <c r="O42" t="s">
        <v>315</v>
      </c>
    </row>
    <row r="43" spans="1:15" ht="12.75" customHeight="1">
      <c r="A43" t="s">
        <v>437</v>
      </c>
      <c r="B43" t="s">
        <v>450</v>
      </c>
      <c r="C43" t="s">
        <v>446</v>
      </c>
      <c r="D43" t="s">
        <v>439</v>
      </c>
      <c r="E43" t="s">
        <v>440</v>
      </c>
      <c r="F43" t="s">
        <v>441</v>
      </c>
      <c r="G43" t="s">
        <v>442</v>
      </c>
      <c r="H43">
        <v>2011</v>
      </c>
      <c r="I43">
        <v>2</v>
      </c>
      <c r="J43" t="s">
        <v>448</v>
      </c>
      <c r="K43" t="s">
        <v>444</v>
      </c>
      <c r="L43">
        <v>2000000</v>
      </c>
      <c r="M43">
        <v>40401</v>
      </c>
      <c r="N43" t="s">
        <v>490</v>
      </c>
      <c r="O43" t="s">
        <v>315</v>
      </c>
    </row>
    <row r="44" spans="1:15" ht="12.75" customHeight="1">
      <c r="A44" t="s">
        <v>437</v>
      </c>
      <c r="B44" t="s">
        <v>438</v>
      </c>
      <c r="C44" t="s">
        <v>421</v>
      </c>
      <c r="D44" t="s">
        <v>439</v>
      </c>
      <c r="E44" t="s">
        <v>440</v>
      </c>
      <c r="F44" t="s">
        <v>441</v>
      </c>
      <c r="G44" t="s">
        <v>442</v>
      </c>
      <c r="H44">
        <v>2011</v>
      </c>
      <c r="I44">
        <v>2</v>
      </c>
      <c r="J44" t="s">
        <v>448</v>
      </c>
      <c r="K44" t="s">
        <v>444</v>
      </c>
      <c r="L44">
        <v>3433819.26</v>
      </c>
      <c r="M44">
        <v>40401</v>
      </c>
      <c r="N44" t="s">
        <v>490</v>
      </c>
      <c r="O44" t="s">
        <v>315</v>
      </c>
    </row>
    <row r="45" spans="1:15" ht="12.75" customHeight="1">
      <c r="A45" t="s">
        <v>437</v>
      </c>
      <c r="B45" t="s">
        <v>438</v>
      </c>
      <c r="C45" t="s">
        <v>451</v>
      </c>
      <c r="D45" t="s">
        <v>439</v>
      </c>
      <c r="E45" t="s">
        <v>440</v>
      </c>
      <c r="F45" t="s">
        <v>441</v>
      </c>
      <c r="G45" t="s">
        <v>442</v>
      </c>
      <c r="H45">
        <v>2011</v>
      </c>
      <c r="I45">
        <v>2</v>
      </c>
      <c r="J45" t="s">
        <v>491</v>
      </c>
      <c r="K45" t="s">
        <v>492</v>
      </c>
      <c r="L45">
        <v>552653</v>
      </c>
      <c r="M45">
        <v>40402</v>
      </c>
      <c r="N45" t="s">
        <v>493</v>
      </c>
      <c r="O45" t="s">
        <v>315</v>
      </c>
    </row>
    <row r="46" spans="1:15" ht="12.75" customHeight="1">
      <c r="A46" t="s">
        <v>437</v>
      </c>
      <c r="B46" t="s">
        <v>438</v>
      </c>
      <c r="C46" t="s">
        <v>451</v>
      </c>
      <c r="D46" t="s">
        <v>439</v>
      </c>
      <c r="E46" t="s">
        <v>440</v>
      </c>
      <c r="F46" t="s">
        <v>441</v>
      </c>
      <c r="G46" t="s">
        <v>442</v>
      </c>
      <c r="H46">
        <v>2011</v>
      </c>
      <c r="I46">
        <v>2</v>
      </c>
      <c r="J46" t="s">
        <v>494</v>
      </c>
      <c r="K46" t="s">
        <v>492</v>
      </c>
      <c r="L46">
        <v>188818.25</v>
      </c>
      <c r="M46">
        <v>40402</v>
      </c>
      <c r="N46" t="s">
        <v>495</v>
      </c>
      <c r="O46" t="s">
        <v>315</v>
      </c>
    </row>
    <row r="47" spans="1:15" ht="12.75" customHeight="1">
      <c r="A47" t="s">
        <v>437</v>
      </c>
      <c r="B47" t="s">
        <v>438</v>
      </c>
      <c r="C47" t="s">
        <v>421</v>
      </c>
      <c r="D47" t="s">
        <v>496</v>
      </c>
      <c r="E47" t="s">
        <v>440</v>
      </c>
      <c r="F47" t="s">
        <v>441</v>
      </c>
      <c r="G47" t="s">
        <v>442</v>
      </c>
      <c r="H47">
        <v>2011</v>
      </c>
      <c r="I47">
        <v>2</v>
      </c>
      <c r="J47" t="s">
        <v>497</v>
      </c>
      <c r="K47" t="s">
        <v>444</v>
      </c>
      <c r="L47">
        <v>2367.25</v>
      </c>
      <c r="M47">
        <v>40402</v>
      </c>
      <c r="N47" t="s">
        <v>495</v>
      </c>
      <c r="O47" t="s">
        <v>315</v>
      </c>
    </row>
    <row r="48" spans="1:15" ht="12.75" customHeight="1">
      <c r="A48" t="s">
        <v>437</v>
      </c>
      <c r="B48" t="s">
        <v>438</v>
      </c>
      <c r="C48" t="s">
        <v>421</v>
      </c>
      <c r="D48" t="s">
        <v>439</v>
      </c>
      <c r="E48" t="s">
        <v>440</v>
      </c>
      <c r="F48" t="s">
        <v>441</v>
      </c>
      <c r="G48" t="s">
        <v>442</v>
      </c>
      <c r="H48">
        <v>2011</v>
      </c>
      <c r="I48">
        <v>2</v>
      </c>
      <c r="J48" t="s">
        <v>498</v>
      </c>
      <c r="K48" t="s">
        <v>444</v>
      </c>
      <c r="L48">
        <v>14199.34</v>
      </c>
      <c r="M48">
        <v>40402</v>
      </c>
      <c r="N48" t="s">
        <v>495</v>
      </c>
      <c r="O48" t="s">
        <v>315</v>
      </c>
    </row>
    <row r="49" spans="1:15" ht="12.75" customHeight="1">
      <c r="A49" t="s">
        <v>437</v>
      </c>
      <c r="B49" t="s">
        <v>438</v>
      </c>
      <c r="C49" t="s">
        <v>421</v>
      </c>
      <c r="D49" t="s">
        <v>439</v>
      </c>
      <c r="E49" t="s">
        <v>440</v>
      </c>
      <c r="F49" t="s">
        <v>441</v>
      </c>
      <c r="G49" t="s">
        <v>442</v>
      </c>
      <c r="H49">
        <v>2011</v>
      </c>
      <c r="I49">
        <v>2</v>
      </c>
      <c r="J49" t="s">
        <v>499</v>
      </c>
      <c r="K49" t="s">
        <v>444</v>
      </c>
      <c r="L49">
        <v>1052996</v>
      </c>
      <c r="M49">
        <v>40402</v>
      </c>
      <c r="N49" t="s">
        <v>495</v>
      </c>
      <c r="O49" t="s">
        <v>315</v>
      </c>
    </row>
    <row r="50" spans="1:15" ht="12.75" customHeight="1">
      <c r="A50" t="s">
        <v>437</v>
      </c>
      <c r="B50" t="s">
        <v>438</v>
      </c>
      <c r="C50" t="s">
        <v>421</v>
      </c>
      <c r="D50" t="s">
        <v>439</v>
      </c>
      <c r="E50" t="s">
        <v>440</v>
      </c>
      <c r="F50" t="s">
        <v>441</v>
      </c>
      <c r="G50" t="s">
        <v>442</v>
      </c>
      <c r="H50">
        <v>2011</v>
      </c>
      <c r="I50">
        <v>2</v>
      </c>
      <c r="J50" t="s">
        <v>500</v>
      </c>
      <c r="K50" t="s">
        <v>444</v>
      </c>
      <c r="L50">
        <v>27567.5</v>
      </c>
      <c r="M50">
        <v>40402</v>
      </c>
      <c r="N50" t="s">
        <v>495</v>
      </c>
      <c r="O50" t="s">
        <v>315</v>
      </c>
    </row>
    <row r="51" spans="1:15" ht="12.75" customHeight="1">
      <c r="A51" t="s">
        <v>437</v>
      </c>
      <c r="B51" t="s">
        <v>438</v>
      </c>
      <c r="C51" t="s">
        <v>421</v>
      </c>
      <c r="D51" t="s">
        <v>439</v>
      </c>
      <c r="E51" t="s">
        <v>440</v>
      </c>
      <c r="F51" t="s">
        <v>441</v>
      </c>
      <c r="G51" t="s">
        <v>442</v>
      </c>
      <c r="H51">
        <v>2011</v>
      </c>
      <c r="I51">
        <v>2</v>
      </c>
      <c r="J51" t="s">
        <v>501</v>
      </c>
      <c r="K51" t="s">
        <v>444</v>
      </c>
      <c r="L51">
        <v>114983</v>
      </c>
      <c r="M51">
        <v>40402</v>
      </c>
      <c r="N51" t="s">
        <v>495</v>
      </c>
      <c r="O51" t="s">
        <v>315</v>
      </c>
    </row>
    <row r="52" spans="1:15" ht="12.75" customHeight="1">
      <c r="A52" t="s">
        <v>437</v>
      </c>
      <c r="B52" t="s">
        <v>438</v>
      </c>
      <c r="C52" t="s">
        <v>451</v>
      </c>
      <c r="D52" t="s">
        <v>439</v>
      </c>
      <c r="E52" t="s">
        <v>440</v>
      </c>
      <c r="F52" t="s">
        <v>441</v>
      </c>
      <c r="G52" t="s">
        <v>442</v>
      </c>
      <c r="H52">
        <v>2011</v>
      </c>
      <c r="I52">
        <v>2</v>
      </c>
      <c r="J52" t="s">
        <v>502</v>
      </c>
      <c r="K52" t="s">
        <v>444</v>
      </c>
      <c r="L52">
        <v>38903.5</v>
      </c>
      <c r="M52">
        <v>40402</v>
      </c>
      <c r="N52" t="s">
        <v>495</v>
      </c>
      <c r="O52" t="s">
        <v>315</v>
      </c>
    </row>
    <row r="53" spans="1:15" ht="12.75" customHeight="1">
      <c r="A53" t="s">
        <v>437</v>
      </c>
      <c r="B53" t="s">
        <v>438</v>
      </c>
      <c r="C53" t="s">
        <v>421</v>
      </c>
      <c r="D53" t="s">
        <v>439</v>
      </c>
      <c r="E53" t="s">
        <v>440</v>
      </c>
      <c r="F53" t="s">
        <v>441</v>
      </c>
      <c r="G53" t="s">
        <v>442</v>
      </c>
      <c r="H53">
        <v>2011</v>
      </c>
      <c r="I53">
        <v>2</v>
      </c>
      <c r="J53" t="s">
        <v>503</v>
      </c>
      <c r="K53" t="s">
        <v>444</v>
      </c>
      <c r="L53">
        <v>47672.75</v>
      </c>
      <c r="M53">
        <v>40402</v>
      </c>
      <c r="N53" t="s">
        <v>495</v>
      </c>
      <c r="O53" t="s">
        <v>315</v>
      </c>
    </row>
    <row r="54" spans="1:15" ht="12.75" customHeight="1">
      <c r="A54" t="s">
        <v>437</v>
      </c>
      <c r="B54" t="s">
        <v>438</v>
      </c>
      <c r="C54" t="s">
        <v>421</v>
      </c>
      <c r="D54" t="s">
        <v>439</v>
      </c>
      <c r="E54" t="s">
        <v>440</v>
      </c>
      <c r="F54" t="s">
        <v>441</v>
      </c>
      <c r="G54" t="s">
        <v>442</v>
      </c>
      <c r="H54">
        <v>2011</v>
      </c>
      <c r="I54">
        <v>2</v>
      </c>
      <c r="J54" t="s">
        <v>504</v>
      </c>
      <c r="K54" t="s">
        <v>444</v>
      </c>
      <c r="L54">
        <v>65992</v>
      </c>
      <c r="M54">
        <v>40402</v>
      </c>
      <c r="N54" t="s">
        <v>495</v>
      </c>
      <c r="O54" t="s">
        <v>315</v>
      </c>
    </row>
    <row r="55" spans="1:15" ht="12.75" customHeight="1">
      <c r="A55" t="s">
        <v>437</v>
      </c>
      <c r="B55" t="s">
        <v>438</v>
      </c>
      <c r="C55" t="s">
        <v>421</v>
      </c>
      <c r="D55" t="s">
        <v>439</v>
      </c>
      <c r="E55" t="s">
        <v>440</v>
      </c>
      <c r="F55" t="s">
        <v>441</v>
      </c>
      <c r="G55" t="s">
        <v>442</v>
      </c>
      <c r="H55">
        <v>2011</v>
      </c>
      <c r="I55">
        <v>2</v>
      </c>
      <c r="J55" t="s">
        <v>505</v>
      </c>
      <c r="K55" t="s">
        <v>444</v>
      </c>
      <c r="L55">
        <v>170440.5</v>
      </c>
      <c r="M55">
        <v>40402</v>
      </c>
      <c r="N55" t="s">
        <v>495</v>
      </c>
      <c r="O55" t="s">
        <v>315</v>
      </c>
    </row>
    <row r="56" spans="1:15" ht="12.75" customHeight="1">
      <c r="A56" t="s">
        <v>437</v>
      </c>
      <c r="B56" t="s">
        <v>438</v>
      </c>
      <c r="C56" t="s">
        <v>421</v>
      </c>
      <c r="D56" t="s">
        <v>439</v>
      </c>
      <c r="E56" t="s">
        <v>440</v>
      </c>
      <c r="F56" t="s">
        <v>441</v>
      </c>
      <c r="G56" t="s">
        <v>442</v>
      </c>
      <c r="H56">
        <v>2011</v>
      </c>
      <c r="I56">
        <v>2</v>
      </c>
      <c r="J56" t="s">
        <v>506</v>
      </c>
      <c r="K56" t="s">
        <v>444</v>
      </c>
      <c r="L56">
        <v>5371.75</v>
      </c>
      <c r="M56">
        <v>40402</v>
      </c>
      <c r="N56" t="s">
        <v>495</v>
      </c>
      <c r="O56" t="s">
        <v>315</v>
      </c>
    </row>
    <row r="57" spans="1:15" ht="12.75" customHeight="1">
      <c r="A57" t="s">
        <v>437</v>
      </c>
      <c r="B57" t="s">
        <v>455</v>
      </c>
      <c r="C57" t="s">
        <v>422</v>
      </c>
      <c r="D57" t="s">
        <v>439</v>
      </c>
      <c r="E57" t="s">
        <v>440</v>
      </c>
      <c r="F57" t="s">
        <v>441</v>
      </c>
      <c r="G57" t="s">
        <v>442</v>
      </c>
      <c r="H57">
        <v>2011</v>
      </c>
      <c r="I57">
        <v>2</v>
      </c>
      <c r="J57" t="s">
        <v>474</v>
      </c>
      <c r="K57" t="s">
        <v>444</v>
      </c>
      <c r="L57">
        <v>40000</v>
      </c>
      <c r="M57">
        <v>40403</v>
      </c>
      <c r="N57" t="s">
        <v>507</v>
      </c>
      <c r="O57" t="s">
        <v>315</v>
      </c>
    </row>
    <row r="58" spans="1:15" ht="12.75" customHeight="1">
      <c r="A58" t="s">
        <v>437</v>
      </c>
      <c r="B58" t="s">
        <v>455</v>
      </c>
      <c r="C58" t="s">
        <v>508</v>
      </c>
      <c r="D58" t="s">
        <v>439</v>
      </c>
      <c r="E58" t="s">
        <v>440</v>
      </c>
      <c r="F58" t="s">
        <v>458</v>
      </c>
      <c r="G58" t="s">
        <v>442</v>
      </c>
      <c r="H58">
        <v>2011</v>
      </c>
      <c r="I58">
        <v>2</v>
      </c>
      <c r="J58" t="s">
        <v>509</v>
      </c>
      <c r="K58" t="s">
        <v>444</v>
      </c>
      <c r="L58">
        <v>1890.52</v>
      </c>
      <c r="M58">
        <v>40403</v>
      </c>
      <c r="N58" t="s">
        <v>507</v>
      </c>
      <c r="O58" t="s">
        <v>315</v>
      </c>
    </row>
    <row r="59" spans="1:15" ht="12.75" customHeight="1">
      <c r="A59" t="s">
        <v>437</v>
      </c>
      <c r="B59" t="s">
        <v>438</v>
      </c>
      <c r="C59" t="s">
        <v>421</v>
      </c>
      <c r="D59" t="s">
        <v>439</v>
      </c>
      <c r="E59" t="s">
        <v>440</v>
      </c>
      <c r="F59" t="s">
        <v>510</v>
      </c>
      <c r="G59" t="s">
        <v>442</v>
      </c>
      <c r="H59">
        <v>2011</v>
      </c>
      <c r="I59">
        <v>2</v>
      </c>
      <c r="J59" t="s">
        <v>511</v>
      </c>
      <c r="K59" t="s">
        <v>444</v>
      </c>
      <c r="L59">
        <v>180408</v>
      </c>
      <c r="M59">
        <v>40403</v>
      </c>
      <c r="N59" t="s">
        <v>507</v>
      </c>
      <c r="O59" t="s">
        <v>315</v>
      </c>
    </row>
    <row r="60" spans="1:15" ht="12.75" customHeight="1">
      <c r="A60" t="s">
        <v>437</v>
      </c>
      <c r="B60" t="s">
        <v>438</v>
      </c>
      <c r="C60" t="s">
        <v>421</v>
      </c>
      <c r="D60" t="s">
        <v>439</v>
      </c>
      <c r="E60" t="s">
        <v>440</v>
      </c>
      <c r="F60" t="s">
        <v>441</v>
      </c>
      <c r="G60" t="s">
        <v>442</v>
      </c>
      <c r="H60">
        <v>2011</v>
      </c>
      <c r="I60">
        <v>2</v>
      </c>
      <c r="J60" t="s">
        <v>512</v>
      </c>
      <c r="K60" t="s">
        <v>444</v>
      </c>
      <c r="L60">
        <v>51814.5</v>
      </c>
      <c r="M60">
        <v>40403</v>
      </c>
      <c r="N60" t="s">
        <v>513</v>
      </c>
      <c r="O60" t="s">
        <v>315</v>
      </c>
    </row>
    <row r="61" spans="1:15" ht="12.75" customHeight="1">
      <c r="A61" t="s">
        <v>437</v>
      </c>
      <c r="B61" t="s">
        <v>438</v>
      </c>
      <c r="C61" t="s">
        <v>451</v>
      </c>
      <c r="D61" t="s">
        <v>439</v>
      </c>
      <c r="E61" t="s">
        <v>440</v>
      </c>
      <c r="F61" t="s">
        <v>441</v>
      </c>
      <c r="G61" t="s">
        <v>442</v>
      </c>
      <c r="H61">
        <v>2011</v>
      </c>
      <c r="I61">
        <v>2</v>
      </c>
      <c r="J61" t="s">
        <v>514</v>
      </c>
      <c r="K61" t="s">
        <v>444</v>
      </c>
      <c r="L61">
        <v>510452</v>
      </c>
      <c r="M61">
        <v>40403</v>
      </c>
      <c r="N61" t="s">
        <v>513</v>
      </c>
      <c r="O61" t="s">
        <v>315</v>
      </c>
    </row>
    <row r="62" spans="1:15" ht="12.75" customHeight="1">
      <c r="A62" t="s">
        <v>437</v>
      </c>
      <c r="B62" t="s">
        <v>455</v>
      </c>
      <c r="C62" t="s">
        <v>515</v>
      </c>
      <c r="D62" t="s">
        <v>516</v>
      </c>
      <c r="E62" t="s">
        <v>517</v>
      </c>
      <c r="F62" t="s">
        <v>518</v>
      </c>
      <c r="G62" t="s">
        <v>442</v>
      </c>
      <c r="H62">
        <v>2011</v>
      </c>
      <c r="I62">
        <v>2</v>
      </c>
      <c r="J62" t="s">
        <v>519</v>
      </c>
      <c r="K62" t="s">
        <v>520</v>
      </c>
      <c r="L62">
        <v>116.66</v>
      </c>
      <c r="M62">
        <v>40406</v>
      </c>
      <c r="N62" t="s">
        <v>521</v>
      </c>
      <c r="O62" t="s">
        <v>315</v>
      </c>
    </row>
    <row r="63" spans="1:15" ht="12.75" customHeight="1">
      <c r="A63" t="s">
        <v>437</v>
      </c>
      <c r="B63" t="s">
        <v>438</v>
      </c>
      <c r="C63" t="s">
        <v>421</v>
      </c>
      <c r="D63" t="s">
        <v>439</v>
      </c>
      <c r="E63" t="s">
        <v>440</v>
      </c>
      <c r="F63" t="s">
        <v>441</v>
      </c>
      <c r="G63" t="s">
        <v>442</v>
      </c>
      <c r="H63">
        <v>2011</v>
      </c>
      <c r="I63">
        <v>2</v>
      </c>
      <c r="J63" t="s">
        <v>522</v>
      </c>
      <c r="K63" t="s">
        <v>444</v>
      </c>
      <c r="L63">
        <v>17806</v>
      </c>
      <c r="M63">
        <v>40406</v>
      </c>
      <c r="N63" t="s">
        <v>521</v>
      </c>
      <c r="O63" t="s">
        <v>315</v>
      </c>
    </row>
    <row r="64" spans="1:15" ht="12.75" customHeight="1">
      <c r="A64" t="s">
        <v>437</v>
      </c>
      <c r="B64" t="s">
        <v>438</v>
      </c>
      <c r="C64" t="s">
        <v>421</v>
      </c>
      <c r="D64" t="s">
        <v>439</v>
      </c>
      <c r="E64" t="s">
        <v>440</v>
      </c>
      <c r="F64" t="s">
        <v>441</v>
      </c>
      <c r="G64" t="s">
        <v>442</v>
      </c>
      <c r="H64">
        <v>2011</v>
      </c>
      <c r="I64">
        <v>2</v>
      </c>
      <c r="J64" t="s">
        <v>523</v>
      </c>
      <c r="K64" t="s">
        <v>444</v>
      </c>
      <c r="L64">
        <v>50216</v>
      </c>
      <c r="M64">
        <v>40406</v>
      </c>
      <c r="N64" t="s">
        <v>521</v>
      </c>
      <c r="O64" t="s">
        <v>315</v>
      </c>
    </row>
    <row r="65" spans="1:15" ht="12.75" customHeight="1">
      <c r="A65" t="s">
        <v>437</v>
      </c>
      <c r="B65" t="s">
        <v>438</v>
      </c>
      <c r="C65" t="s">
        <v>421</v>
      </c>
      <c r="D65" t="s">
        <v>439</v>
      </c>
      <c r="E65" t="s">
        <v>440</v>
      </c>
      <c r="F65" t="s">
        <v>441</v>
      </c>
      <c r="G65" t="s">
        <v>442</v>
      </c>
      <c r="H65">
        <v>2011</v>
      </c>
      <c r="I65">
        <v>2</v>
      </c>
      <c r="J65" t="s">
        <v>478</v>
      </c>
      <c r="K65" t="s">
        <v>444</v>
      </c>
      <c r="L65">
        <v>15244.47</v>
      </c>
      <c r="M65">
        <v>40407</v>
      </c>
      <c r="N65" t="s">
        <v>524</v>
      </c>
      <c r="O65" t="s">
        <v>315</v>
      </c>
    </row>
    <row r="66" spans="1:15" ht="12.75" customHeight="1">
      <c r="A66" t="s">
        <v>437</v>
      </c>
      <c r="B66" t="s">
        <v>438</v>
      </c>
      <c r="C66" t="s">
        <v>421</v>
      </c>
      <c r="D66" t="s">
        <v>439</v>
      </c>
      <c r="E66" t="s">
        <v>440</v>
      </c>
      <c r="F66" t="s">
        <v>441</v>
      </c>
      <c r="G66" t="s">
        <v>442</v>
      </c>
      <c r="H66">
        <v>2011</v>
      </c>
      <c r="I66">
        <v>2</v>
      </c>
      <c r="J66" t="s">
        <v>525</v>
      </c>
      <c r="K66" t="s">
        <v>444</v>
      </c>
      <c r="L66">
        <v>54202.01</v>
      </c>
      <c r="M66">
        <v>40407</v>
      </c>
      <c r="N66" t="s">
        <v>524</v>
      </c>
      <c r="O66" t="s">
        <v>315</v>
      </c>
    </row>
    <row r="67" spans="1:15" ht="12.75" customHeight="1">
      <c r="A67" t="s">
        <v>437</v>
      </c>
      <c r="B67" t="s">
        <v>438</v>
      </c>
      <c r="C67" t="s">
        <v>421</v>
      </c>
      <c r="D67" t="s">
        <v>439</v>
      </c>
      <c r="E67" t="s">
        <v>440</v>
      </c>
      <c r="F67" t="s">
        <v>441</v>
      </c>
      <c r="G67" t="s">
        <v>442</v>
      </c>
      <c r="H67">
        <v>2011</v>
      </c>
      <c r="I67">
        <v>2</v>
      </c>
      <c r="J67" t="s">
        <v>526</v>
      </c>
      <c r="K67" t="s">
        <v>444</v>
      </c>
      <c r="L67">
        <v>97857.24</v>
      </c>
      <c r="M67">
        <v>40407</v>
      </c>
      <c r="N67" t="s">
        <v>524</v>
      </c>
      <c r="O67" t="s">
        <v>315</v>
      </c>
    </row>
    <row r="68" spans="1:15" ht="12.75" customHeight="1">
      <c r="A68" t="s">
        <v>437</v>
      </c>
      <c r="B68" t="s">
        <v>438</v>
      </c>
      <c r="C68" t="s">
        <v>421</v>
      </c>
      <c r="D68" t="s">
        <v>439</v>
      </c>
      <c r="E68" t="s">
        <v>440</v>
      </c>
      <c r="F68" t="s">
        <v>441</v>
      </c>
      <c r="G68" t="s">
        <v>442</v>
      </c>
      <c r="H68">
        <v>2011</v>
      </c>
      <c r="I68">
        <v>2</v>
      </c>
      <c r="J68" t="s">
        <v>527</v>
      </c>
      <c r="K68" t="s">
        <v>444</v>
      </c>
      <c r="L68">
        <v>2192056</v>
      </c>
      <c r="M68">
        <v>40403</v>
      </c>
      <c r="N68" t="s">
        <v>528</v>
      </c>
      <c r="O68" t="s">
        <v>315</v>
      </c>
    </row>
    <row r="69" spans="1:15" ht="12.75" customHeight="1">
      <c r="A69" t="s">
        <v>437</v>
      </c>
      <c r="B69" t="s">
        <v>438</v>
      </c>
      <c r="C69" t="s">
        <v>421</v>
      </c>
      <c r="D69" t="s">
        <v>439</v>
      </c>
      <c r="E69" t="s">
        <v>440</v>
      </c>
      <c r="F69" t="s">
        <v>441</v>
      </c>
      <c r="G69" t="s">
        <v>442</v>
      </c>
      <c r="H69">
        <v>2011</v>
      </c>
      <c r="I69">
        <v>2</v>
      </c>
      <c r="J69" t="s">
        <v>486</v>
      </c>
      <c r="K69" t="s">
        <v>444</v>
      </c>
      <c r="L69">
        <v>4977</v>
      </c>
      <c r="M69">
        <v>40409</v>
      </c>
      <c r="N69" t="s">
        <v>529</v>
      </c>
      <c r="O69" t="s">
        <v>315</v>
      </c>
    </row>
    <row r="70" spans="1:15" ht="12.75" customHeight="1">
      <c r="A70" t="s">
        <v>437</v>
      </c>
      <c r="B70" t="s">
        <v>455</v>
      </c>
      <c r="C70" t="s">
        <v>436</v>
      </c>
      <c r="D70" t="s">
        <v>462</v>
      </c>
      <c r="E70" t="s">
        <v>457</v>
      </c>
      <c r="F70" t="s">
        <v>458</v>
      </c>
      <c r="G70" t="s">
        <v>442</v>
      </c>
      <c r="H70">
        <v>2011</v>
      </c>
      <c r="I70">
        <v>2</v>
      </c>
      <c r="J70" t="s">
        <v>530</v>
      </c>
      <c r="K70" t="s">
        <v>460</v>
      </c>
      <c r="L70">
        <v>45588.05</v>
      </c>
      <c r="M70">
        <v>40414</v>
      </c>
      <c r="N70" t="s">
        <v>531</v>
      </c>
      <c r="O70" t="s">
        <v>315</v>
      </c>
    </row>
    <row r="71" spans="1:15" ht="12.75" customHeight="1">
      <c r="A71" t="s">
        <v>437</v>
      </c>
      <c r="B71" t="s">
        <v>455</v>
      </c>
      <c r="C71" t="s">
        <v>436</v>
      </c>
      <c r="D71" t="s">
        <v>462</v>
      </c>
      <c r="E71" t="s">
        <v>457</v>
      </c>
      <c r="F71" t="s">
        <v>458</v>
      </c>
      <c r="G71" t="s">
        <v>442</v>
      </c>
      <c r="H71">
        <v>2011</v>
      </c>
      <c r="I71">
        <v>2</v>
      </c>
      <c r="J71" t="s">
        <v>530</v>
      </c>
      <c r="K71" t="s">
        <v>460</v>
      </c>
      <c r="L71">
        <v>11418.13</v>
      </c>
      <c r="M71">
        <v>40414</v>
      </c>
      <c r="N71" t="s">
        <v>531</v>
      </c>
      <c r="O71" t="s">
        <v>315</v>
      </c>
    </row>
    <row r="72" spans="1:15" ht="12.75" customHeight="1">
      <c r="A72" t="s">
        <v>437</v>
      </c>
      <c r="B72" t="s">
        <v>455</v>
      </c>
      <c r="C72" t="s">
        <v>424</v>
      </c>
      <c r="D72" t="s">
        <v>439</v>
      </c>
      <c r="E72" t="s">
        <v>440</v>
      </c>
      <c r="F72" t="s">
        <v>441</v>
      </c>
      <c r="G72" t="s">
        <v>442</v>
      </c>
      <c r="H72">
        <v>2011</v>
      </c>
      <c r="I72">
        <v>2</v>
      </c>
      <c r="J72" t="s">
        <v>532</v>
      </c>
      <c r="K72" t="s">
        <v>444</v>
      </c>
      <c r="L72">
        <v>54183.98</v>
      </c>
      <c r="M72">
        <v>40414</v>
      </c>
      <c r="N72" t="s">
        <v>533</v>
      </c>
      <c r="O72" t="s">
        <v>315</v>
      </c>
    </row>
    <row r="73" spans="1:15" ht="12.75" customHeight="1">
      <c r="A73" t="s">
        <v>437</v>
      </c>
      <c r="B73" t="s">
        <v>438</v>
      </c>
      <c r="C73" t="s">
        <v>421</v>
      </c>
      <c r="D73" t="s">
        <v>439</v>
      </c>
      <c r="E73" t="s">
        <v>440</v>
      </c>
      <c r="F73" t="s">
        <v>441</v>
      </c>
      <c r="G73" t="s">
        <v>442</v>
      </c>
      <c r="H73">
        <v>2011</v>
      </c>
      <c r="I73">
        <v>2</v>
      </c>
      <c r="J73" t="s">
        <v>534</v>
      </c>
      <c r="K73" t="s">
        <v>444</v>
      </c>
      <c r="L73">
        <v>1381.75</v>
      </c>
      <c r="M73">
        <v>40414</v>
      </c>
      <c r="N73" t="s">
        <v>533</v>
      </c>
      <c r="O73" t="s">
        <v>315</v>
      </c>
    </row>
    <row r="74" spans="1:15" ht="12.75" customHeight="1">
      <c r="A74" t="s">
        <v>437</v>
      </c>
      <c r="B74" t="s">
        <v>438</v>
      </c>
      <c r="C74" t="s">
        <v>421</v>
      </c>
      <c r="D74" t="s">
        <v>439</v>
      </c>
      <c r="E74" t="s">
        <v>440</v>
      </c>
      <c r="F74" t="s">
        <v>441</v>
      </c>
      <c r="G74" t="s">
        <v>442</v>
      </c>
      <c r="H74">
        <v>2011</v>
      </c>
      <c r="I74">
        <v>2</v>
      </c>
      <c r="J74" t="s">
        <v>535</v>
      </c>
      <c r="K74" t="s">
        <v>483</v>
      </c>
      <c r="L74">
        <v>5699.82</v>
      </c>
      <c r="M74">
        <v>40414</v>
      </c>
      <c r="N74" t="s">
        <v>533</v>
      </c>
      <c r="O74" t="s">
        <v>315</v>
      </c>
    </row>
    <row r="75" spans="1:15" ht="12.75" customHeight="1">
      <c r="A75" t="s">
        <v>437</v>
      </c>
      <c r="B75" t="s">
        <v>438</v>
      </c>
      <c r="C75" t="s">
        <v>421</v>
      </c>
      <c r="D75" t="s">
        <v>439</v>
      </c>
      <c r="E75" t="s">
        <v>440</v>
      </c>
      <c r="F75" t="s">
        <v>441</v>
      </c>
      <c r="G75" t="s">
        <v>442</v>
      </c>
      <c r="H75">
        <v>2011</v>
      </c>
      <c r="I75">
        <v>2</v>
      </c>
      <c r="J75" t="s">
        <v>536</v>
      </c>
      <c r="K75" t="s">
        <v>483</v>
      </c>
      <c r="L75">
        <v>752.2</v>
      </c>
      <c r="M75">
        <v>40414</v>
      </c>
      <c r="N75" t="s">
        <v>533</v>
      </c>
      <c r="O75" t="s">
        <v>315</v>
      </c>
    </row>
    <row r="76" spans="1:15" ht="12.75" customHeight="1">
      <c r="A76" t="s">
        <v>437</v>
      </c>
      <c r="B76" t="s">
        <v>455</v>
      </c>
      <c r="C76" t="s">
        <v>422</v>
      </c>
      <c r="D76" t="s">
        <v>439</v>
      </c>
      <c r="E76" t="s">
        <v>440</v>
      </c>
      <c r="F76" t="s">
        <v>441</v>
      </c>
      <c r="G76" t="s">
        <v>442</v>
      </c>
      <c r="H76">
        <v>2011</v>
      </c>
      <c r="I76">
        <v>2</v>
      </c>
      <c r="J76" t="s">
        <v>474</v>
      </c>
      <c r="K76" t="s">
        <v>444</v>
      </c>
      <c r="L76">
        <v>80000</v>
      </c>
      <c r="M76">
        <v>40414</v>
      </c>
      <c r="N76" t="s">
        <v>533</v>
      </c>
      <c r="O76" t="s">
        <v>315</v>
      </c>
    </row>
    <row r="77" spans="1:15" ht="12.75" customHeight="1">
      <c r="A77" t="s">
        <v>437</v>
      </c>
      <c r="B77" t="s">
        <v>438</v>
      </c>
      <c r="C77" t="s">
        <v>421</v>
      </c>
      <c r="D77" t="s">
        <v>439</v>
      </c>
      <c r="E77" t="s">
        <v>440</v>
      </c>
      <c r="F77" t="s">
        <v>441</v>
      </c>
      <c r="G77" t="s">
        <v>442</v>
      </c>
      <c r="H77">
        <v>2011</v>
      </c>
      <c r="I77">
        <v>2</v>
      </c>
      <c r="J77" t="s">
        <v>447</v>
      </c>
      <c r="K77" t="s">
        <v>444</v>
      </c>
      <c r="L77">
        <v>2831.75</v>
      </c>
      <c r="M77">
        <v>40414</v>
      </c>
      <c r="N77" t="s">
        <v>533</v>
      </c>
      <c r="O77" t="s">
        <v>315</v>
      </c>
    </row>
    <row r="78" spans="1:15" ht="12.75" customHeight="1">
      <c r="A78" t="s">
        <v>437</v>
      </c>
      <c r="B78" t="s">
        <v>438</v>
      </c>
      <c r="C78" t="s">
        <v>421</v>
      </c>
      <c r="D78" t="s">
        <v>439</v>
      </c>
      <c r="E78" t="s">
        <v>440</v>
      </c>
      <c r="F78" t="s">
        <v>441</v>
      </c>
      <c r="G78" t="s">
        <v>442</v>
      </c>
      <c r="H78">
        <v>2011</v>
      </c>
      <c r="I78">
        <v>2</v>
      </c>
      <c r="J78" t="s">
        <v>537</v>
      </c>
      <c r="K78" t="s">
        <v>444</v>
      </c>
      <c r="L78">
        <v>17882.38</v>
      </c>
      <c r="M78">
        <v>40414</v>
      </c>
      <c r="N78" t="s">
        <v>533</v>
      </c>
      <c r="O78" t="s">
        <v>315</v>
      </c>
    </row>
    <row r="79" spans="1:15" ht="12.75" customHeight="1">
      <c r="A79" t="s">
        <v>437</v>
      </c>
      <c r="B79" t="s">
        <v>455</v>
      </c>
      <c r="C79" t="s">
        <v>424</v>
      </c>
      <c r="D79" t="s">
        <v>439</v>
      </c>
      <c r="E79" t="s">
        <v>440</v>
      </c>
      <c r="F79" t="s">
        <v>441</v>
      </c>
      <c r="G79" t="s">
        <v>442</v>
      </c>
      <c r="H79">
        <v>2011</v>
      </c>
      <c r="I79">
        <v>2</v>
      </c>
      <c r="J79" t="s">
        <v>538</v>
      </c>
      <c r="K79" t="s">
        <v>444</v>
      </c>
      <c r="L79">
        <v>11828.59</v>
      </c>
      <c r="M79">
        <v>40414</v>
      </c>
      <c r="N79" t="s">
        <v>533</v>
      </c>
      <c r="O79" t="s">
        <v>315</v>
      </c>
    </row>
    <row r="80" spans="1:15" ht="12.75" customHeight="1">
      <c r="A80" t="s">
        <v>437</v>
      </c>
      <c r="B80" t="s">
        <v>438</v>
      </c>
      <c r="C80" t="s">
        <v>421</v>
      </c>
      <c r="D80" t="s">
        <v>439</v>
      </c>
      <c r="E80" t="s">
        <v>440</v>
      </c>
      <c r="F80" t="s">
        <v>441</v>
      </c>
      <c r="G80" t="s">
        <v>442</v>
      </c>
      <c r="H80">
        <v>2011</v>
      </c>
      <c r="I80">
        <v>2</v>
      </c>
      <c r="J80" t="s">
        <v>539</v>
      </c>
      <c r="K80" t="s">
        <v>444</v>
      </c>
      <c r="L80">
        <v>16.510000000000002</v>
      </c>
      <c r="M80">
        <v>40414</v>
      </c>
      <c r="N80" t="s">
        <v>533</v>
      </c>
      <c r="O80" t="s">
        <v>315</v>
      </c>
    </row>
    <row r="81" spans="1:15" ht="12.75" customHeight="1">
      <c r="A81" t="s">
        <v>437</v>
      </c>
      <c r="B81" t="s">
        <v>438</v>
      </c>
      <c r="C81" t="s">
        <v>421</v>
      </c>
      <c r="D81" t="s">
        <v>439</v>
      </c>
      <c r="E81" t="s">
        <v>440</v>
      </c>
      <c r="F81" t="s">
        <v>441</v>
      </c>
      <c r="G81" t="s">
        <v>442</v>
      </c>
      <c r="H81">
        <v>2011</v>
      </c>
      <c r="I81">
        <v>2</v>
      </c>
      <c r="J81" t="s">
        <v>485</v>
      </c>
      <c r="K81" t="s">
        <v>444</v>
      </c>
      <c r="L81">
        <v>74663.7</v>
      </c>
      <c r="M81">
        <v>40415</v>
      </c>
      <c r="N81" t="s">
        <v>540</v>
      </c>
      <c r="O81" t="s">
        <v>315</v>
      </c>
    </row>
    <row r="82" spans="1:15" ht="12.75" customHeight="1">
      <c r="A82" t="s">
        <v>437</v>
      </c>
      <c r="B82" t="s">
        <v>438</v>
      </c>
      <c r="C82" t="s">
        <v>421</v>
      </c>
      <c r="D82" t="s">
        <v>439</v>
      </c>
      <c r="E82" t="s">
        <v>440</v>
      </c>
      <c r="F82" t="s">
        <v>441</v>
      </c>
      <c r="G82" t="s">
        <v>442</v>
      </c>
      <c r="H82">
        <v>2011</v>
      </c>
      <c r="I82">
        <v>2</v>
      </c>
      <c r="J82" t="s">
        <v>541</v>
      </c>
      <c r="K82" t="s">
        <v>444</v>
      </c>
      <c r="L82">
        <v>49690.45</v>
      </c>
      <c r="M82">
        <v>40416</v>
      </c>
      <c r="N82" t="s">
        <v>542</v>
      </c>
      <c r="O82" t="s">
        <v>315</v>
      </c>
    </row>
    <row r="83" spans="1:15" ht="12.75" customHeight="1">
      <c r="A83" t="s">
        <v>437</v>
      </c>
      <c r="B83" t="s">
        <v>438</v>
      </c>
      <c r="C83" t="s">
        <v>421</v>
      </c>
      <c r="D83" t="s">
        <v>439</v>
      </c>
      <c r="E83" t="s">
        <v>440</v>
      </c>
      <c r="F83" t="s">
        <v>441</v>
      </c>
      <c r="G83" t="s">
        <v>442</v>
      </c>
      <c r="H83">
        <v>2011</v>
      </c>
      <c r="I83">
        <v>2</v>
      </c>
      <c r="J83" t="s">
        <v>479</v>
      </c>
      <c r="K83" t="s">
        <v>444</v>
      </c>
      <c r="L83">
        <v>453748.9</v>
      </c>
      <c r="M83">
        <v>40416</v>
      </c>
      <c r="N83" t="s">
        <v>542</v>
      </c>
      <c r="O83" t="s">
        <v>315</v>
      </c>
    </row>
    <row r="84" spans="1:15" ht="12.75" customHeight="1">
      <c r="A84" t="s">
        <v>437</v>
      </c>
      <c r="B84" t="s">
        <v>455</v>
      </c>
      <c r="C84" t="s">
        <v>436</v>
      </c>
      <c r="D84" t="s">
        <v>456</v>
      </c>
      <c r="E84" t="s">
        <v>457</v>
      </c>
      <c r="F84" t="s">
        <v>543</v>
      </c>
      <c r="G84" t="s">
        <v>442</v>
      </c>
      <c r="H84">
        <v>2011</v>
      </c>
      <c r="I84">
        <v>2</v>
      </c>
      <c r="J84" t="s">
        <v>459</v>
      </c>
      <c r="K84" t="s">
        <v>460</v>
      </c>
      <c r="L84">
        <v>-117165.28</v>
      </c>
      <c r="M84">
        <v>40395</v>
      </c>
      <c r="N84" t="s">
        <v>544</v>
      </c>
      <c r="O84" t="s">
        <v>545</v>
      </c>
    </row>
    <row r="85" spans="1:15" ht="12.75" customHeight="1">
      <c r="A85" t="s">
        <v>437</v>
      </c>
      <c r="B85" t="s">
        <v>455</v>
      </c>
      <c r="C85" t="s">
        <v>436</v>
      </c>
      <c r="D85" t="s">
        <v>462</v>
      </c>
      <c r="E85" t="s">
        <v>457</v>
      </c>
      <c r="F85" t="s">
        <v>543</v>
      </c>
      <c r="G85" t="s">
        <v>442</v>
      </c>
      <c r="H85">
        <v>2011</v>
      </c>
      <c r="I85">
        <v>2</v>
      </c>
      <c r="J85" t="s">
        <v>459</v>
      </c>
      <c r="K85" t="s">
        <v>460</v>
      </c>
      <c r="L85">
        <v>-122183.71</v>
      </c>
      <c r="M85">
        <v>40395</v>
      </c>
      <c r="N85" t="s">
        <v>544</v>
      </c>
      <c r="O85" t="s">
        <v>545</v>
      </c>
    </row>
    <row r="86" spans="1:15" ht="12.75" customHeight="1">
      <c r="A86" t="s">
        <v>437</v>
      </c>
      <c r="B86" t="s">
        <v>455</v>
      </c>
      <c r="C86" t="s">
        <v>436</v>
      </c>
      <c r="D86" t="s">
        <v>456</v>
      </c>
      <c r="E86" t="s">
        <v>457</v>
      </c>
      <c r="F86" t="s">
        <v>543</v>
      </c>
      <c r="G86" t="s">
        <v>442</v>
      </c>
      <c r="H86">
        <v>2011</v>
      </c>
      <c r="I86">
        <v>2</v>
      </c>
      <c r="J86" t="s">
        <v>459</v>
      </c>
      <c r="K86" t="s">
        <v>460</v>
      </c>
      <c r="L86">
        <v>-141943.21</v>
      </c>
      <c r="M86">
        <v>40402</v>
      </c>
      <c r="N86" t="s">
        <v>546</v>
      </c>
      <c r="O86" t="s">
        <v>545</v>
      </c>
    </row>
    <row r="87" spans="1:15" ht="12.75" customHeight="1">
      <c r="A87" t="s">
        <v>437</v>
      </c>
      <c r="B87" t="s">
        <v>455</v>
      </c>
      <c r="C87" t="s">
        <v>436</v>
      </c>
      <c r="D87" t="s">
        <v>462</v>
      </c>
      <c r="E87" t="s">
        <v>457</v>
      </c>
      <c r="F87" t="s">
        <v>543</v>
      </c>
      <c r="G87" t="s">
        <v>442</v>
      </c>
      <c r="H87">
        <v>2011</v>
      </c>
      <c r="I87">
        <v>2</v>
      </c>
      <c r="J87" t="s">
        <v>459</v>
      </c>
      <c r="K87" t="s">
        <v>460</v>
      </c>
      <c r="L87">
        <v>-21912.959999999999</v>
      </c>
      <c r="M87">
        <v>40402</v>
      </c>
      <c r="N87" t="s">
        <v>546</v>
      </c>
      <c r="O87" t="s">
        <v>545</v>
      </c>
    </row>
    <row r="88" spans="1:15" ht="12.75" customHeight="1">
      <c r="A88" t="s">
        <v>437</v>
      </c>
      <c r="B88" t="s">
        <v>455</v>
      </c>
      <c r="C88" t="s">
        <v>436</v>
      </c>
      <c r="D88" t="s">
        <v>456</v>
      </c>
      <c r="E88" t="s">
        <v>457</v>
      </c>
      <c r="F88" t="s">
        <v>543</v>
      </c>
      <c r="G88" t="s">
        <v>442</v>
      </c>
      <c r="H88">
        <v>2011</v>
      </c>
      <c r="I88">
        <v>2</v>
      </c>
      <c r="J88" t="s">
        <v>459</v>
      </c>
      <c r="K88" t="s">
        <v>460</v>
      </c>
      <c r="L88">
        <v>-63735.1</v>
      </c>
      <c r="M88">
        <v>40409</v>
      </c>
      <c r="N88" t="s">
        <v>547</v>
      </c>
      <c r="O88" t="s">
        <v>545</v>
      </c>
    </row>
    <row r="89" spans="1:15" ht="12.75" customHeight="1">
      <c r="A89" t="s">
        <v>437</v>
      </c>
      <c r="B89" t="s">
        <v>455</v>
      </c>
      <c r="C89" t="s">
        <v>436</v>
      </c>
      <c r="D89" t="s">
        <v>462</v>
      </c>
      <c r="E89" t="s">
        <v>457</v>
      </c>
      <c r="F89" t="s">
        <v>543</v>
      </c>
      <c r="G89" t="s">
        <v>442</v>
      </c>
      <c r="H89">
        <v>2011</v>
      </c>
      <c r="I89">
        <v>2</v>
      </c>
      <c r="J89" t="s">
        <v>459</v>
      </c>
      <c r="K89" t="s">
        <v>460</v>
      </c>
      <c r="L89">
        <v>-116032.73</v>
      </c>
      <c r="M89">
        <v>40409</v>
      </c>
      <c r="N89" t="s">
        <v>547</v>
      </c>
      <c r="O89" t="s">
        <v>545</v>
      </c>
    </row>
    <row r="90" spans="1:15" ht="12.75" customHeight="1">
      <c r="A90" t="s">
        <v>437</v>
      </c>
      <c r="B90" t="s">
        <v>455</v>
      </c>
      <c r="C90" t="s">
        <v>424</v>
      </c>
      <c r="D90" t="s">
        <v>439</v>
      </c>
      <c r="E90" t="s">
        <v>440</v>
      </c>
      <c r="F90" t="s">
        <v>543</v>
      </c>
      <c r="G90" t="s">
        <v>548</v>
      </c>
      <c r="H90">
        <v>2011</v>
      </c>
      <c r="I90">
        <v>2</v>
      </c>
      <c r="J90" t="s">
        <v>549</v>
      </c>
      <c r="K90" t="s">
        <v>444</v>
      </c>
      <c r="L90">
        <v>-8690.14</v>
      </c>
      <c r="M90">
        <v>40410</v>
      </c>
      <c r="N90" t="s">
        <v>550</v>
      </c>
      <c r="O90" t="s">
        <v>545</v>
      </c>
    </row>
    <row r="91" spans="1:15" ht="12.75" customHeight="1">
      <c r="A91" t="s">
        <v>437</v>
      </c>
      <c r="B91" t="s">
        <v>455</v>
      </c>
      <c r="C91" t="s">
        <v>424</v>
      </c>
      <c r="D91" t="s">
        <v>439</v>
      </c>
      <c r="E91" t="s">
        <v>440</v>
      </c>
      <c r="F91" t="s">
        <v>543</v>
      </c>
      <c r="G91" t="s">
        <v>548</v>
      </c>
      <c r="H91">
        <v>2011</v>
      </c>
      <c r="I91">
        <v>2</v>
      </c>
      <c r="J91" t="s">
        <v>551</v>
      </c>
      <c r="K91" t="s">
        <v>444</v>
      </c>
      <c r="L91">
        <v>-14762</v>
      </c>
      <c r="M91">
        <v>40410</v>
      </c>
      <c r="N91" t="s">
        <v>550</v>
      </c>
      <c r="O91" t="s">
        <v>545</v>
      </c>
    </row>
    <row r="92" spans="1:15" ht="12.75" customHeight="1">
      <c r="A92" t="s">
        <v>437</v>
      </c>
      <c r="B92" t="s">
        <v>455</v>
      </c>
      <c r="C92" t="s">
        <v>424</v>
      </c>
      <c r="D92" t="s">
        <v>439</v>
      </c>
      <c r="E92" t="s">
        <v>440</v>
      </c>
      <c r="F92" t="s">
        <v>543</v>
      </c>
      <c r="G92" t="s">
        <v>548</v>
      </c>
      <c r="H92">
        <v>2011</v>
      </c>
      <c r="I92">
        <v>2</v>
      </c>
      <c r="J92" t="s">
        <v>552</v>
      </c>
      <c r="K92" t="s">
        <v>483</v>
      </c>
      <c r="L92">
        <v>8</v>
      </c>
      <c r="M92">
        <v>40410</v>
      </c>
      <c r="N92" t="s">
        <v>550</v>
      </c>
      <c r="O92" t="s">
        <v>545</v>
      </c>
    </row>
    <row r="93" spans="1:15" ht="12.75" customHeight="1">
      <c r="A93" t="s">
        <v>437</v>
      </c>
      <c r="B93" t="s">
        <v>455</v>
      </c>
      <c r="C93" t="s">
        <v>424</v>
      </c>
      <c r="D93" t="s">
        <v>439</v>
      </c>
      <c r="E93" t="s">
        <v>440</v>
      </c>
      <c r="F93" t="s">
        <v>543</v>
      </c>
      <c r="G93" t="s">
        <v>548</v>
      </c>
      <c r="H93">
        <v>2011</v>
      </c>
      <c r="I93">
        <v>2</v>
      </c>
      <c r="J93" t="s">
        <v>553</v>
      </c>
      <c r="K93" t="s">
        <v>444</v>
      </c>
      <c r="L93">
        <v>-3376</v>
      </c>
      <c r="M93">
        <v>40410</v>
      </c>
      <c r="N93" t="s">
        <v>550</v>
      </c>
      <c r="O93" t="s">
        <v>545</v>
      </c>
    </row>
    <row r="94" spans="1:15" ht="12.75" customHeight="1">
      <c r="A94" t="s">
        <v>437</v>
      </c>
      <c r="B94" t="s">
        <v>455</v>
      </c>
      <c r="C94" t="s">
        <v>424</v>
      </c>
      <c r="D94" t="s">
        <v>439</v>
      </c>
      <c r="E94" t="s">
        <v>440</v>
      </c>
      <c r="F94" t="s">
        <v>543</v>
      </c>
      <c r="G94" t="s">
        <v>548</v>
      </c>
      <c r="H94">
        <v>2011</v>
      </c>
      <c r="I94">
        <v>2</v>
      </c>
      <c r="J94" t="s">
        <v>532</v>
      </c>
      <c r="K94" t="s">
        <v>444</v>
      </c>
      <c r="L94">
        <v>-26659.48</v>
      </c>
      <c r="M94">
        <v>40410</v>
      </c>
      <c r="N94" t="s">
        <v>550</v>
      </c>
      <c r="O94" t="s">
        <v>545</v>
      </c>
    </row>
    <row r="95" spans="1:15" ht="12.75" customHeight="1">
      <c r="A95" t="s">
        <v>437</v>
      </c>
      <c r="B95" t="s">
        <v>455</v>
      </c>
      <c r="C95" t="s">
        <v>424</v>
      </c>
      <c r="D95" t="s">
        <v>439</v>
      </c>
      <c r="E95" t="s">
        <v>440</v>
      </c>
      <c r="F95" t="s">
        <v>543</v>
      </c>
      <c r="G95" t="s">
        <v>548</v>
      </c>
      <c r="H95">
        <v>2011</v>
      </c>
      <c r="I95">
        <v>2</v>
      </c>
      <c r="J95" t="s">
        <v>538</v>
      </c>
      <c r="K95" t="s">
        <v>444</v>
      </c>
      <c r="L95">
        <v>-14576.98</v>
      </c>
      <c r="M95">
        <v>40410</v>
      </c>
      <c r="N95" t="s">
        <v>550</v>
      </c>
      <c r="O95" t="s">
        <v>545</v>
      </c>
    </row>
    <row r="96" spans="1:15" ht="12.75" customHeight="1">
      <c r="A96" t="s">
        <v>437</v>
      </c>
      <c r="B96" t="s">
        <v>455</v>
      </c>
      <c r="C96" t="s">
        <v>424</v>
      </c>
      <c r="D96" t="s">
        <v>439</v>
      </c>
      <c r="E96" t="s">
        <v>440</v>
      </c>
      <c r="F96" t="s">
        <v>543</v>
      </c>
      <c r="G96" t="s">
        <v>548</v>
      </c>
      <c r="H96">
        <v>2011</v>
      </c>
      <c r="I96">
        <v>2</v>
      </c>
      <c r="J96" t="s">
        <v>554</v>
      </c>
      <c r="K96" t="s">
        <v>444</v>
      </c>
      <c r="L96">
        <v>-132059.95000000001</v>
      </c>
      <c r="M96">
        <v>40410</v>
      </c>
      <c r="N96" t="s">
        <v>550</v>
      </c>
      <c r="O96" t="s">
        <v>545</v>
      </c>
    </row>
    <row r="97" spans="1:15" ht="12.75" customHeight="1">
      <c r="A97" t="s">
        <v>437</v>
      </c>
      <c r="B97" t="s">
        <v>455</v>
      </c>
      <c r="C97" t="s">
        <v>424</v>
      </c>
      <c r="D97" t="s">
        <v>439</v>
      </c>
      <c r="E97" t="s">
        <v>440</v>
      </c>
      <c r="F97" t="s">
        <v>543</v>
      </c>
      <c r="G97" t="s">
        <v>548</v>
      </c>
      <c r="H97">
        <v>2011</v>
      </c>
      <c r="I97">
        <v>2</v>
      </c>
      <c r="J97" t="s">
        <v>555</v>
      </c>
      <c r="K97" t="s">
        <v>483</v>
      </c>
      <c r="L97">
        <v>-0.34</v>
      </c>
      <c r="M97">
        <v>40410</v>
      </c>
      <c r="N97" t="s">
        <v>550</v>
      </c>
      <c r="O97" t="s">
        <v>545</v>
      </c>
    </row>
    <row r="98" spans="1:15" ht="12.75" customHeight="1">
      <c r="A98" t="s">
        <v>437</v>
      </c>
      <c r="B98" t="s">
        <v>455</v>
      </c>
      <c r="C98" t="s">
        <v>424</v>
      </c>
      <c r="D98" t="s">
        <v>439</v>
      </c>
      <c r="E98" t="s">
        <v>440</v>
      </c>
      <c r="F98" t="s">
        <v>543</v>
      </c>
      <c r="G98" t="s">
        <v>548</v>
      </c>
      <c r="H98">
        <v>2011</v>
      </c>
      <c r="I98">
        <v>2</v>
      </c>
      <c r="J98" t="s">
        <v>556</v>
      </c>
      <c r="K98" t="s">
        <v>444</v>
      </c>
      <c r="L98">
        <v>-818.45</v>
      </c>
      <c r="M98">
        <v>40410</v>
      </c>
      <c r="N98" t="s">
        <v>550</v>
      </c>
      <c r="O98" t="s">
        <v>545</v>
      </c>
    </row>
    <row r="99" spans="1:15" ht="12.75" customHeight="1">
      <c r="A99" t="s">
        <v>437</v>
      </c>
      <c r="B99" t="s">
        <v>455</v>
      </c>
      <c r="C99" t="s">
        <v>471</v>
      </c>
      <c r="D99" t="s">
        <v>439</v>
      </c>
      <c r="E99" t="s">
        <v>440</v>
      </c>
      <c r="F99" t="s">
        <v>543</v>
      </c>
      <c r="G99" t="s">
        <v>548</v>
      </c>
      <c r="H99">
        <v>2011</v>
      </c>
      <c r="I99">
        <v>2</v>
      </c>
      <c r="J99" t="s">
        <v>557</v>
      </c>
      <c r="K99" t="s">
        <v>444</v>
      </c>
      <c r="L99">
        <v>-8049</v>
      </c>
      <c r="M99">
        <v>40410</v>
      </c>
      <c r="N99" t="s">
        <v>550</v>
      </c>
      <c r="O99" t="s">
        <v>545</v>
      </c>
    </row>
    <row r="100" spans="1:15" ht="12.75" customHeight="1">
      <c r="A100" t="s">
        <v>437</v>
      </c>
      <c r="B100" t="s">
        <v>455</v>
      </c>
      <c r="C100" t="s">
        <v>424</v>
      </c>
      <c r="D100" t="s">
        <v>439</v>
      </c>
      <c r="E100" t="s">
        <v>440</v>
      </c>
      <c r="F100" t="s">
        <v>543</v>
      </c>
      <c r="G100" t="s">
        <v>548</v>
      </c>
      <c r="H100">
        <v>2011</v>
      </c>
      <c r="I100">
        <v>2</v>
      </c>
      <c r="J100" t="s">
        <v>558</v>
      </c>
      <c r="K100" t="s">
        <v>444</v>
      </c>
      <c r="L100">
        <v>-7412.66</v>
      </c>
      <c r="M100">
        <v>40410</v>
      </c>
      <c r="N100" t="s">
        <v>550</v>
      </c>
      <c r="O100" t="s">
        <v>545</v>
      </c>
    </row>
    <row r="101" spans="1:15" ht="12.75" customHeight="1">
      <c r="A101" t="s">
        <v>437</v>
      </c>
      <c r="B101" t="s">
        <v>455</v>
      </c>
      <c r="C101" t="s">
        <v>471</v>
      </c>
      <c r="D101" t="s">
        <v>439</v>
      </c>
      <c r="E101" t="s">
        <v>440</v>
      </c>
      <c r="F101" t="s">
        <v>543</v>
      </c>
      <c r="G101" t="s">
        <v>548</v>
      </c>
      <c r="H101">
        <v>2011</v>
      </c>
      <c r="I101">
        <v>2</v>
      </c>
      <c r="J101" t="s">
        <v>472</v>
      </c>
      <c r="K101" t="s">
        <v>444</v>
      </c>
      <c r="L101">
        <v>-228086</v>
      </c>
      <c r="M101">
        <v>40410</v>
      </c>
      <c r="N101" t="s">
        <v>550</v>
      </c>
      <c r="O101" t="s">
        <v>545</v>
      </c>
    </row>
    <row r="102" spans="1:15" ht="12.75" customHeight="1">
      <c r="A102" t="s">
        <v>437</v>
      </c>
      <c r="B102" t="s">
        <v>455</v>
      </c>
      <c r="C102" t="s">
        <v>424</v>
      </c>
      <c r="D102" t="s">
        <v>439</v>
      </c>
      <c r="E102" t="s">
        <v>440</v>
      </c>
      <c r="F102" t="s">
        <v>543</v>
      </c>
      <c r="G102" t="s">
        <v>548</v>
      </c>
      <c r="H102">
        <v>2011</v>
      </c>
      <c r="I102">
        <v>2</v>
      </c>
      <c r="J102" t="s">
        <v>532</v>
      </c>
      <c r="K102" t="s">
        <v>444</v>
      </c>
      <c r="L102">
        <v>-28023.24</v>
      </c>
      <c r="M102">
        <v>40414</v>
      </c>
      <c r="N102" t="s">
        <v>559</v>
      </c>
      <c r="O102" t="s">
        <v>545</v>
      </c>
    </row>
    <row r="103" spans="1:15" ht="12.75" customHeight="1">
      <c r="A103" t="s">
        <v>437</v>
      </c>
      <c r="B103" t="s">
        <v>455</v>
      </c>
      <c r="C103" t="s">
        <v>424</v>
      </c>
      <c r="D103" t="s">
        <v>439</v>
      </c>
      <c r="E103" t="s">
        <v>440</v>
      </c>
      <c r="F103" t="s">
        <v>543</v>
      </c>
      <c r="G103" t="s">
        <v>548</v>
      </c>
      <c r="H103">
        <v>2011</v>
      </c>
      <c r="I103">
        <v>2</v>
      </c>
      <c r="J103" t="s">
        <v>538</v>
      </c>
      <c r="K103" t="s">
        <v>444</v>
      </c>
      <c r="L103">
        <v>-7.0000000000000007E-2</v>
      </c>
      <c r="M103">
        <v>40414</v>
      </c>
      <c r="N103" t="s">
        <v>559</v>
      </c>
      <c r="O103" t="s">
        <v>545</v>
      </c>
    </row>
    <row r="104" spans="1:15" ht="12.75" customHeight="1">
      <c r="A104" t="s">
        <v>437</v>
      </c>
      <c r="B104" t="s">
        <v>455</v>
      </c>
      <c r="C104" t="s">
        <v>471</v>
      </c>
      <c r="D104" t="s">
        <v>439</v>
      </c>
      <c r="E104" t="s">
        <v>440</v>
      </c>
      <c r="F104" t="s">
        <v>543</v>
      </c>
      <c r="G104" t="s">
        <v>548</v>
      </c>
      <c r="H104">
        <v>2011</v>
      </c>
      <c r="I104">
        <v>2</v>
      </c>
      <c r="J104" t="s">
        <v>472</v>
      </c>
      <c r="K104" t="s">
        <v>444</v>
      </c>
      <c r="L104">
        <v>-189698</v>
      </c>
      <c r="M104">
        <v>40414</v>
      </c>
      <c r="N104" t="s">
        <v>559</v>
      </c>
      <c r="O104" t="s">
        <v>545</v>
      </c>
    </row>
    <row r="105" spans="1:15" ht="12.75" customHeight="1">
      <c r="A105" t="s">
        <v>437</v>
      </c>
      <c r="B105" t="s">
        <v>455</v>
      </c>
      <c r="C105" t="s">
        <v>424</v>
      </c>
      <c r="D105" t="s">
        <v>439</v>
      </c>
      <c r="E105" t="s">
        <v>440</v>
      </c>
      <c r="F105" t="s">
        <v>543</v>
      </c>
      <c r="G105" t="s">
        <v>548</v>
      </c>
      <c r="H105">
        <v>2011</v>
      </c>
      <c r="I105">
        <v>2</v>
      </c>
      <c r="J105" t="s">
        <v>549</v>
      </c>
      <c r="K105" t="s">
        <v>444</v>
      </c>
      <c r="L105">
        <v>-0.04</v>
      </c>
      <c r="M105">
        <v>40414</v>
      </c>
      <c r="N105" t="s">
        <v>559</v>
      </c>
      <c r="O105" t="s">
        <v>545</v>
      </c>
    </row>
    <row r="106" spans="1:15" ht="12.75" customHeight="1">
      <c r="A106" t="s">
        <v>437</v>
      </c>
      <c r="B106" t="s">
        <v>455</v>
      </c>
      <c r="C106" t="s">
        <v>424</v>
      </c>
      <c r="D106" t="s">
        <v>439</v>
      </c>
      <c r="E106" t="s">
        <v>440</v>
      </c>
      <c r="F106" t="s">
        <v>543</v>
      </c>
      <c r="G106" t="s">
        <v>548</v>
      </c>
      <c r="H106">
        <v>2011</v>
      </c>
      <c r="I106">
        <v>2</v>
      </c>
      <c r="J106" t="s">
        <v>554</v>
      </c>
      <c r="K106" t="s">
        <v>444</v>
      </c>
      <c r="L106">
        <v>-188591.65</v>
      </c>
      <c r="M106">
        <v>40414</v>
      </c>
      <c r="N106" t="s">
        <v>559</v>
      </c>
      <c r="O106" t="s">
        <v>545</v>
      </c>
    </row>
    <row r="107" spans="1:15" ht="12.75" customHeight="1">
      <c r="A107" t="s">
        <v>437</v>
      </c>
      <c r="B107" t="s">
        <v>455</v>
      </c>
      <c r="C107" t="s">
        <v>423</v>
      </c>
      <c r="D107" t="s">
        <v>516</v>
      </c>
      <c r="E107" t="s">
        <v>517</v>
      </c>
      <c r="F107" t="s">
        <v>560</v>
      </c>
      <c r="G107" t="s">
        <v>442</v>
      </c>
      <c r="H107">
        <v>2011</v>
      </c>
      <c r="I107">
        <v>2</v>
      </c>
      <c r="J107" t="s">
        <v>561</v>
      </c>
      <c r="K107" t="s">
        <v>520</v>
      </c>
      <c r="L107">
        <v>26805.68</v>
      </c>
      <c r="M107">
        <v>40406</v>
      </c>
      <c r="N107" t="s">
        <v>562</v>
      </c>
      <c r="O107" t="s">
        <v>315</v>
      </c>
    </row>
    <row r="108" spans="1:15" ht="12.75" customHeight="1">
      <c r="A108" t="s">
        <v>437</v>
      </c>
      <c r="B108" t="s">
        <v>455</v>
      </c>
      <c r="C108" t="s">
        <v>515</v>
      </c>
      <c r="D108" t="s">
        <v>563</v>
      </c>
      <c r="E108" t="s">
        <v>488</v>
      </c>
      <c r="F108" t="s">
        <v>564</v>
      </c>
      <c r="G108" t="s">
        <v>442</v>
      </c>
      <c r="H108">
        <v>2011</v>
      </c>
      <c r="I108">
        <v>2</v>
      </c>
      <c r="J108" t="s">
        <v>565</v>
      </c>
      <c r="K108" t="s">
        <v>483</v>
      </c>
      <c r="L108">
        <v>-6629.9870000000001</v>
      </c>
      <c r="M108">
        <v>40417</v>
      </c>
      <c r="N108" t="s">
        <v>566</v>
      </c>
      <c r="O108" t="s">
        <v>315</v>
      </c>
    </row>
    <row r="109" spans="1:15" ht="12.75" customHeight="1">
      <c r="A109" t="s">
        <v>437</v>
      </c>
      <c r="B109" t="s">
        <v>455</v>
      </c>
      <c r="C109" t="s">
        <v>423</v>
      </c>
      <c r="D109" t="s">
        <v>516</v>
      </c>
      <c r="E109" t="s">
        <v>517</v>
      </c>
      <c r="F109" t="s">
        <v>560</v>
      </c>
      <c r="G109" t="s">
        <v>442</v>
      </c>
      <c r="H109">
        <v>2011</v>
      </c>
      <c r="I109">
        <v>2</v>
      </c>
      <c r="J109" t="s">
        <v>567</v>
      </c>
      <c r="K109" t="s">
        <v>520</v>
      </c>
      <c r="L109">
        <v>-4030.0129999999999</v>
      </c>
      <c r="M109">
        <v>40420</v>
      </c>
      <c r="N109" t="s">
        <v>568</v>
      </c>
      <c r="O109" t="s">
        <v>315</v>
      </c>
    </row>
    <row r="110" spans="1:15" ht="12.75" customHeight="1">
      <c r="A110" t="s">
        <v>437</v>
      </c>
      <c r="B110" t="s">
        <v>438</v>
      </c>
      <c r="C110" t="s">
        <v>421</v>
      </c>
      <c r="D110" t="s">
        <v>439</v>
      </c>
      <c r="E110" t="s">
        <v>440</v>
      </c>
      <c r="F110" t="s">
        <v>441</v>
      </c>
      <c r="G110" t="s">
        <v>442</v>
      </c>
      <c r="H110">
        <v>2011</v>
      </c>
      <c r="I110">
        <v>2</v>
      </c>
      <c r="J110" t="s">
        <v>569</v>
      </c>
      <c r="K110" t="s">
        <v>444</v>
      </c>
      <c r="L110">
        <v>31781</v>
      </c>
      <c r="M110">
        <v>40421</v>
      </c>
      <c r="N110" t="s">
        <v>570</v>
      </c>
      <c r="O110" t="s">
        <v>315</v>
      </c>
    </row>
    <row r="111" spans="1:15" ht="12.75" customHeight="1">
      <c r="A111" t="s">
        <v>437</v>
      </c>
      <c r="B111" t="s">
        <v>438</v>
      </c>
      <c r="C111" t="s">
        <v>421</v>
      </c>
      <c r="D111" t="s">
        <v>571</v>
      </c>
      <c r="E111" t="s">
        <v>440</v>
      </c>
      <c r="F111" t="s">
        <v>441</v>
      </c>
      <c r="G111" t="s">
        <v>442</v>
      </c>
      <c r="H111">
        <v>2011</v>
      </c>
      <c r="I111">
        <v>2</v>
      </c>
      <c r="J111" t="s">
        <v>572</v>
      </c>
      <c r="K111" t="s">
        <v>444</v>
      </c>
      <c r="L111">
        <v>-31781</v>
      </c>
      <c r="M111">
        <v>40421</v>
      </c>
      <c r="N111" t="s">
        <v>570</v>
      </c>
      <c r="O111" t="s">
        <v>315</v>
      </c>
    </row>
    <row r="112" spans="1:15" ht="12.75" customHeight="1">
      <c r="A112" t="s">
        <v>437</v>
      </c>
      <c r="B112" t="s">
        <v>455</v>
      </c>
      <c r="C112" t="s">
        <v>424</v>
      </c>
      <c r="D112" t="s">
        <v>456</v>
      </c>
      <c r="E112" t="s">
        <v>457</v>
      </c>
      <c r="F112" t="s">
        <v>458</v>
      </c>
      <c r="G112" t="s">
        <v>442</v>
      </c>
      <c r="H112">
        <v>2011</v>
      </c>
      <c r="I112">
        <v>2</v>
      </c>
      <c r="J112" t="s">
        <v>573</v>
      </c>
      <c r="K112" t="s">
        <v>444</v>
      </c>
      <c r="L112">
        <v>2310.98</v>
      </c>
      <c r="M112">
        <v>40414</v>
      </c>
      <c r="N112" t="s">
        <v>574</v>
      </c>
      <c r="O112" t="s">
        <v>315</v>
      </c>
    </row>
    <row r="113" spans="1:15" ht="12.75" customHeight="1">
      <c r="A113" t="s">
        <v>437</v>
      </c>
      <c r="B113" t="s">
        <v>438</v>
      </c>
      <c r="C113" t="s">
        <v>420</v>
      </c>
      <c r="D113" t="s">
        <v>456</v>
      </c>
      <c r="E113" t="s">
        <v>457</v>
      </c>
      <c r="F113" t="s">
        <v>458</v>
      </c>
      <c r="G113" t="s">
        <v>442</v>
      </c>
      <c r="H113">
        <v>2011</v>
      </c>
      <c r="I113">
        <v>2</v>
      </c>
      <c r="J113" t="s">
        <v>573</v>
      </c>
      <c r="K113" t="s">
        <v>444</v>
      </c>
      <c r="L113">
        <v>288.87</v>
      </c>
      <c r="M113">
        <v>40414</v>
      </c>
      <c r="N113" t="s">
        <v>574</v>
      </c>
      <c r="O113" t="s">
        <v>315</v>
      </c>
    </row>
    <row r="114" spans="1:15" ht="12.75" customHeight="1">
      <c r="A114" t="s">
        <v>437</v>
      </c>
      <c r="B114" t="s">
        <v>455</v>
      </c>
      <c r="C114" t="s">
        <v>575</v>
      </c>
      <c r="D114" t="s">
        <v>516</v>
      </c>
      <c r="E114" t="s">
        <v>517</v>
      </c>
      <c r="F114" t="s">
        <v>576</v>
      </c>
      <c r="G114" t="s">
        <v>442</v>
      </c>
      <c r="H114">
        <v>2011</v>
      </c>
      <c r="I114">
        <v>2</v>
      </c>
      <c r="J114" t="s">
        <v>577</v>
      </c>
      <c r="K114" t="s">
        <v>520</v>
      </c>
      <c r="L114">
        <v>132.47999999999999</v>
      </c>
      <c r="M114">
        <v>40392</v>
      </c>
      <c r="N114" t="s">
        <v>578</v>
      </c>
      <c r="O114" t="s">
        <v>315</v>
      </c>
    </row>
    <row r="115" spans="1:15" ht="12.75" customHeight="1">
      <c r="A115" t="s">
        <v>437</v>
      </c>
      <c r="B115" t="s">
        <v>455</v>
      </c>
      <c r="C115" t="s">
        <v>436</v>
      </c>
      <c r="D115" t="s">
        <v>462</v>
      </c>
      <c r="E115" t="s">
        <v>457</v>
      </c>
      <c r="F115" t="s">
        <v>576</v>
      </c>
      <c r="G115" t="s">
        <v>442</v>
      </c>
      <c r="H115">
        <v>2011</v>
      </c>
      <c r="I115">
        <v>2</v>
      </c>
      <c r="J115" t="s">
        <v>459</v>
      </c>
      <c r="K115" t="s">
        <v>460</v>
      </c>
      <c r="L115">
        <v>2739.12</v>
      </c>
      <c r="M115">
        <v>40393</v>
      </c>
      <c r="N115" t="s">
        <v>579</v>
      </c>
      <c r="O115" t="s">
        <v>315</v>
      </c>
    </row>
    <row r="116" spans="1:15" ht="12.75" customHeight="1">
      <c r="A116" t="s">
        <v>437</v>
      </c>
      <c r="B116" t="s">
        <v>455</v>
      </c>
      <c r="C116" t="s">
        <v>436</v>
      </c>
      <c r="D116" t="s">
        <v>456</v>
      </c>
      <c r="E116" t="s">
        <v>457</v>
      </c>
      <c r="F116" t="s">
        <v>543</v>
      </c>
      <c r="G116" t="s">
        <v>442</v>
      </c>
      <c r="H116">
        <v>2011</v>
      </c>
      <c r="I116">
        <v>2</v>
      </c>
      <c r="J116" t="s">
        <v>459</v>
      </c>
      <c r="K116" t="s">
        <v>460</v>
      </c>
      <c r="L116">
        <v>-141943.21</v>
      </c>
      <c r="M116">
        <v>40393</v>
      </c>
      <c r="N116" t="s">
        <v>579</v>
      </c>
      <c r="O116" t="s">
        <v>315</v>
      </c>
    </row>
    <row r="117" spans="1:15" ht="12.75" customHeight="1">
      <c r="A117" t="s">
        <v>437</v>
      </c>
      <c r="B117" t="s">
        <v>455</v>
      </c>
      <c r="C117" t="s">
        <v>424</v>
      </c>
      <c r="D117" t="s">
        <v>456</v>
      </c>
      <c r="E117" t="s">
        <v>457</v>
      </c>
      <c r="F117" t="s">
        <v>543</v>
      </c>
      <c r="G117" t="s">
        <v>442</v>
      </c>
      <c r="H117">
        <v>2011</v>
      </c>
      <c r="I117">
        <v>2</v>
      </c>
      <c r="J117" t="s">
        <v>464</v>
      </c>
      <c r="K117" t="s">
        <v>444</v>
      </c>
      <c r="L117">
        <v>-80.25</v>
      </c>
      <c r="M117">
        <v>40393</v>
      </c>
      <c r="N117" t="s">
        <v>579</v>
      </c>
      <c r="O117" t="s">
        <v>315</v>
      </c>
    </row>
    <row r="118" spans="1:15" ht="12.75" customHeight="1">
      <c r="A118" t="s">
        <v>437</v>
      </c>
      <c r="B118" t="s">
        <v>455</v>
      </c>
      <c r="C118" t="s">
        <v>436</v>
      </c>
      <c r="D118" t="s">
        <v>456</v>
      </c>
      <c r="E118" t="s">
        <v>457</v>
      </c>
      <c r="F118" t="s">
        <v>458</v>
      </c>
      <c r="G118" t="s">
        <v>442</v>
      </c>
      <c r="H118">
        <v>2011</v>
      </c>
      <c r="I118">
        <v>2</v>
      </c>
      <c r="J118" t="s">
        <v>459</v>
      </c>
      <c r="K118" t="s">
        <v>460</v>
      </c>
      <c r="L118">
        <v>-17742.900000000001</v>
      </c>
      <c r="M118">
        <v>40393</v>
      </c>
      <c r="N118" t="s">
        <v>579</v>
      </c>
      <c r="O118" t="s">
        <v>315</v>
      </c>
    </row>
    <row r="119" spans="1:15" ht="12.75" customHeight="1">
      <c r="A119" t="s">
        <v>437</v>
      </c>
      <c r="B119" t="s">
        <v>455</v>
      </c>
      <c r="C119" t="s">
        <v>436</v>
      </c>
      <c r="D119" t="s">
        <v>456</v>
      </c>
      <c r="E119" t="s">
        <v>457</v>
      </c>
      <c r="F119" t="s">
        <v>576</v>
      </c>
      <c r="G119" t="s">
        <v>442</v>
      </c>
      <c r="H119">
        <v>2011</v>
      </c>
      <c r="I119">
        <v>2</v>
      </c>
      <c r="J119" t="s">
        <v>459</v>
      </c>
      <c r="K119" t="s">
        <v>460</v>
      </c>
      <c r="L119">
        <v>17742.900000000001</v>
      </c>
      <c r="M119">
        <v>40393</v>
      </c>
      <c r="N119" t="s">
        <v>579</v>
      </c>
      <c r="O119" t="s">
        <v>315</v>
      </c>
    </row>
    <row r="120" spans="1:15" ht="12.75" customHeight="1">
      <c r="A120" t="s">
        <v>437</v>
      </c>
      <c r="B120" t="s">
        <v>438</v>
      </c>
      <c r="C120" t="s">
        <v>420</v>
      </c>
      <c r="D120" t="s">
        <v>456</v>
      </c>
      <c r="E120" t="s">
        <v>457</v>
      </c>
      <c r="F120" t="s">
        <v>458</v>
      </c>
      <c r="G120" t="s">
        <v>442</v>
      </c>
      <c r="H120">
        <v>2011</v>
      </c>
      <c r="I120">
        <v>2</v>
      </c>
      <c r="J120" t="s">
        <v>459</v>
      </c>
      <c r="K120" t="s">
        <v>460</v>
      </c>
      <c r="L120">
        <v>17742.900000000001</v>
      </c>
      <c r="M120">
        <v>40393</v>
      </c>
      <c r="N120" t="s">
        <v>579</v>
      </c>
      <c r="O120" t="s">
        <v>315</v>
      </c>
    </row>
    <row r="121" spans="1:15" ht="12.75" customHeight="1">
      <c r="A121" t="s">
        <v>437</v>
      </c>
      <c r="B121" t="s">
        <v>455</v>
      </c>
      <c r="C121" t="s">
        <v>436</v>
      </c>
      <c r="D121" t="s">
        <v>462</v>
      </c>
      <c r="E121" t="s">
        <v>457</v>
      </c>
      <c r="F121" t="s">
        <v>458</v>
      </c>
      <c r="G121" t="s">
        <v>442</v>
      </c>
      <c r="H121">
        <v>2011</v>
      </c>
      <c r="I121">
        <v>2</v>
      </c>
      <c r="J121" t="s">
        <v>459</v>
      </c>
      <c r="K121" t="s">
        <v>460</v>
      </c>
      <c r="L121">
        <v>-2739.12</v>
      </c>
      <c r="M121">
        <v>40393</v>
      </c>
      <c r="N121" t="s">
        <v>579</v>
      </c>
      <c r="O121" t="s">
        <v>315</v>
      </c>
    </row>
    <row r="122" spans="1:15" ht="12.75" customHeight="1">
      <c r="A122" t="s">
        <v>437</v>
      </c>
      <c r="B122" t="s">
        <v>455</v>
      </c>
      <c r="C122" t="s">
        <v>575</v>
      </c>
      <c r="D122" t="s">
        <v>516</v>
      </c>
      <c r="E122" t="s">
        <v>517</v>
      </c>
      <c r="F122" t="s">
        <v>576</v>
      </c>
      <c r="G122" t="s">
        <v>442</v>
      </c>
      <c r="H122">
        <v>2011</v>
      </c>
      <c r="I122">
        <v>2</v>
      </c>
      <c r="J122" t="s">
        <v>580</v>
      </c>
      <c r="K122" t="s">
        <v>520</v>
      </c>
      <c r="L122">
        <v>41.96</v>
      </c>
      <c r="M122">
        <v>40393</v>
      </c>
      <c r="N122" t="s">
        <v>579</v>
      </c>
      <c r="O122" t="s">
        <v>315</v>
      </c>
    </row>
    <row r="123" spans="1:15" ht="12.75" customHeight="1">
      <c r="A123" t="s">
        <v>437</v>
      </c>
      <c r="B123" t="s">
        <v>438</v>
      </c>
      <c r="C123" t="s">
        <v>420</v>
      </c>
      <c r="D123" t="s">
        <v>456</v>
      </c>
      <c r="E123" t="s">
        <v>457</v>
      </c>
      <c r="F123" t="s">
        <v>576</v>
      </c>
      <c r="G123" t="s">
        <v>442</v>
      </c>
      <c r="H123">
        <v>2011</v>
      </c>
      <c r="I123">
        <v>2</v>
      </c>
      <c r="J123" t="s">
        <v>459</v>
      </c>
      <c r="K123" t="s">
        <v>460</v>
      </c>
      <c r="L123">
        <v>-17742.900000000001</v>
      </c>
      <c r="M123">
        <v>40393</v>
      </c>
      <c r="N123" t="s">
        <v>579</v>
      </c>
      <c r="O123" t="s">
        <v>315</v>
      </c>
    </row>
    <row r="124" spans="1:15" ht="12.75" customHeight="1">
      <c r="A124" t="s">
        <v>437</v>
      </c>
      <c r="B124" t="s">
        <v>455</v>
      </c>
      <c r="C124" t="s">
        <v>436</v>
      </c>
      <c r="D124" t="s">
        <v>462</v>
      </c>
      <c r="E124" t="s">
        <v>457</v>
      </c>
      <c r="F124" t="s">
        <v>543</v>
      </c>
      <c r="G124" t="s">
        <v>442</v>
      </c>
      <c r="H124">
        <v>2011</v>
      </c>
      <c r="I124">
        <v>2</v>
      </c>
      <c r="J124" t="s">
        <v>459</v>
      </c>
      <c r="K124" t="s">
        <v>460</v>
      </c>
      <c r="L124">
        <v>-21912.959999999999</v>
      </c>
      <c r="M124">
        <v>40393</v>
      </c>
      <c r="N124" t="s">
        <v>579</v>
      </c>
      <c r="O124" t="s">
        <v>315</v>
      </c>
    </row>
    <row r="125" spans="1:15" ht="12.75" customHeight="1">
      <c r="A125" t="s">
        <v>437</v>
      </c>
      <c r="B125" t="s">
        <v>438</v>
      </c>
      <c r="C125" t="s">
        <v>420</v>
      </c>
      <c r="D125" t="s">
        <v>462</v>
      </c>
      <c r="E125" t="s">
        <v>457</v>
      </c>
      <c r="F125" t="s">
        <v>458</v>
      </c>
      <c r="G125" t="s">
        <v>442</v>
      </c>
      <c r="H125">
        <v>2011</v>
      </c>
      <c r="I125">
        <v>2</v>
      </c>
      <c r="J125" t="s">
        <v>459</v>
      </c>
      <c r="K125" t="s">
        <v>460</v>
      </c>
      <c r="L125">
        <v>2739.12</v>
      </c>
      <c r="M125">
        <v>40393</v>
      </c>
      <c r="N125" t="s">
        <v>579</v>
      </c>
      <c r="O125" t="s">
        <v>315</v>
      </c>
    </row>
    <row r="126" spans="1:15" ht="12.75" customHeight="1">
      <c r="A126" t="s">
        <v>437</v>
      </c>
      <c r="B126" t="s">
        <v>438</v>
      </c>
      <c r="C126" t="s">
        <v>420</v>
      </c>
      <c r="D126" t="s">
        <v>462</v>
      </c>
      <c r="E126" t="s">
        <v>457</v>
      </c>
      <c r="F126" t="s">
        <v>576</v>
      </c>
      <c r="G126" t="s">
        <v>442</v>
      </c>
      <c r="H126">
        <v>2011</v>
      </c>
      <c r="I126">
        <v>2</v>
      </c>
      <c r="J126" t="s">
        <v>459</v>
      </c>
      <c r="K126" t="s">
        <v>460</v>
      </c>
      <c r="L126">
        <v>-2739.12</v>
      </c>
      <c r="M126">
        <v>40393</v>
      </c>
      <c r="N126" t="s">
        <v>579</v>
      </c>
      <c r="O126" t="s">
        <v>315</v>
      </c>
    </row>
    <row r="127" spans="1:15" ht="12.75" customHeight="1">
      <c r="A127" t="s">
        <v>437</v>
      </c>
      <c r="B127" t="s">
        <v>455</v>
      </c>
      <c r="C127" t="s">
        <v>424</v>
      </c>
      <c r="D127" t="s">
        <v>456</v>
      </c>
      <c r="E127" t="s">
        <v>457</v>
      </c>
      <c r="F127" t="s">
        <v>543</v>
      </c>
      <c r="G127" t="s">
        <v>442</v>
      </c>
      <c r="H127">
        <v>2011</v>
      </c>
      <c r="I127">
        <v>2</v>
      </c>
      <c r="J127" t="s">
        <v>464</v>
      </c>
      <c r="K127" t="s">
        <v>444</v>
      </c>
      <c r="L127">
        <v>80.25</v>
      </c>
      <c r="M127">
        <v>40393</v>
      </c>
      <c r="N127" t="s">
        <v>581</v>
      </c>
      <c r="O127" t="s">
        <v>545</v>
      </c>
    </row>
    <row r="128" spans="1:15" ht="12.75" customHeight="1">
      <c r="A128" t="s">
        <v>437</v>
      </c>
      <c r="B128" t="s">
        <v>455</v>
      </c>
      <c r="C128" t="s">
        <v>436</v>
      </c>
      <c r="D128" t="s">
        <v>462</v>
      </c>
      <c r="E128" t="s">
        <v>457</v>
      </c>
      <c r="F128" t="s">
        <v>543</v>
      </c>
      <c r="G128" t="s">
        <v>442</v>
      </c>
      <c r="H128">
        <v>2011</v>
      </c>
      <c r="I128">
        <v>2</v>
      </c>
      <c r="J128" t="s">
        <v>459</v>
      </c>
      <c r="K128" t="s">
        <v>460</v>
      </c>
      <c r="L128">
        <v>21912.959999999999</v>
      </c>
      <c r="M128">
        <v>40393</v>
      </c>
      <c r="N128" t="s">
        <v>581</v>
      </c>
      <c r="O128" t="s">
        <v>545</v>
      </c>
    </row>
    <row r="129" spans="1:15" ht="12.75" customHeight="1">
      <c r="A129" t="s">
        <v>437</v>
      </c>
      <c r="B129" t="s">
        <v>455</v>
      </c>
      <c r="C129" t="s">
        <v>436</v>
      </c>
      <c r="D129" t="s">
        <v>456</v>
      </c>
      <c r="E129" t="s">
        <v>457</v>
      </c>
      <c r="F129" t="s">
        <v>543</v>
      </c>
      <c r="G129" t="s">
        <v>442</v>
      </c>
      <c r="H129">
        <v>2011</v>
      </c>
      <c r="I129">
        <v>2</v>
      </c>
      <c r="J129" t="s">
        <v>459</v>
      </c>
      <c r="K129" t="s">
        <v>460</v>
      </c>
      <c r="L129">
        <v>141943.21</v>
      </c>
      <c r="M129">
        <v>40393</v>
      </c>
      <c r="N129" t="s">
        <v>581</v>
      </c>
      <c r="O129" t="s">
        <v>545</v>
      </c>
    </row>
    <row r="130" spans="1:15" ht="12.75" customHeight="1">
      <c r="A130" t="s">
        <v>437</v>
      </c>
      <c r="B130" t="s">
        <v>455</v>
      </c>
      <c r="C130" t="s">
        <v>575</v>
      </c>
      <c r="D130" t="s">
        <v>516</v>
      </c>
      <c r="E130" t="s">
        <v>517</v>
      </c>
      <c r="F130" t="s">
        <v>576</v>
      </c>
      <c r="G130" t="s">
        <v>442</v>
      </c>
      <c r="H130">
        <v>2011</v>
      </c>
      <c r="I130">
        <v>2</v>
      </c>
      <c r="J130" t="s">
        <v>582</v>
      </c>
      <c r="K130" t="s">
        <v>520</v>
      </c>
      <c r="L130">
        <v>32.11</v>
      </c>
      <c r="M130">
        <v>40394</v>
      </c>
      <c r="N130" t="s">
        <v>583</v>
      </c>
      <c r="O130" t="s">
        <v>315</v>
      </c>
    </row>
  </sheetData>
  <autoFilter ref="B8:O8" xr:uid="{00000000-0001-0000-0B00-000000000000}"/>
  <conditionalFormatting sqref="A9:O130">
    <cfRule type="expression" dxfId="0" priority="1">
      <formula>ISNUMBER(MATCH(A9, $Q$3:$Q$9,0))</formula>
    </cfRule>
  </conditionalFormatting>
  <hyperlinks>
    <hyperlink ref="D1" location="TOC!A1" display="Return to TOC" xr:uid="{00000000-0004-0000-0B00-000000000000}"/>
  </hyperlink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TOC</vt:lpstr>
      <vt:lpstr>01-Intro</vt:lpstr>
      <vt:lpstr>03-VLOOKUP</vt:lpstr>
      <vt:lpstr>03-Date to Period Conversion</vt:lpstr>
      <vt:lpstr>02-IF</vt:lpstr>
      <vt:lpstr>02-IF-ISERROR</vt:lpstr>
      <vt:lpstr>05-filter1</vt:lpstr>
      <vt:lpstr>05-filter2</vt:lpstr>
      <vt:lpstr>06-CF Row Banding</vt:lpstr>
      <vt:lpstr>'03-Date to Period Conversion'!Z_24FA60FA_7D0B_436C_8ED0_796B3F3C5F35_.wvu.PrintArea</vt:lpstr>
      <vt:lpstr>'03-VLOOKUP'!Z_24FA60FA_7D0B_436C_8ED0_796B3F3C5F35_.wvu.PrintArea</vt:lpstr>
      <vt:lpstr>'05-filter1'!Z_24FA60FA_7D0B_436C_8ED0_796B3F3C5F35_.wvu.PrintArea</vt:lpstr>
      <vt:lpstr>'03-Date to Period Conversion'!Z_35868F84_30BB_46CE_8E91_DCBD494D63D4_.wvu.PrintArea</vt:lpstr>
      <vt:lpstr>'03-VLOOKUP'!Z_35868F84_30BB_46CE_8E91_DCBD494D63D4_.wvu.PrintArea</vt:lpstr>
      <vt:lpstr>'05-filter1'!Z_35868F84_30BB_46CE_8E91_DCBD494D63D4_.wvu.PrintArea</vt:lpstr>
    </vt:vector>
  </TitlesOfParts>
  <Manager/>
  <Company>State of Connecticut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Perkins</dc:creator>
  <cp:keywords/>
  <dc:description/>
  <cp:lastModifiedBy>SHADY BASHER</cp:lastModifiedBy>
  <cp:revision/>
  <dcterms:created xsi:type="dcterms:W3CDTF">2009-04-07T11:47:54Z</dcterms:created>
  <dcterms:modified xsi:type="dcterms:W3CDTF">2026-04-27T14:36:56Z</dcterms:modified>
  <cp:category/>
  <cp:contentStatus/>
</cp:coreProperties>
</file>